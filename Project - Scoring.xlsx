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Critères" sheetId="2" state="visible" r:id="rId4"/>
    <sheet name="Identification" sheetId="3" state="visible" r:id="rId5"/>
    <sheet name="Scoring" sheetId="4" state="visible" r:id="rId6"/>
    <sheet name="Classement" sheetId="5" state="visible" r:id="rId7"/>
    <sheet name="Règles de classement" sheetId="6" state="visible" r:id="rId8"/>
    <sheet name="Sources web" sheetId="7" state="visible" r:id="rId9"/>
  </sheets>
  <definedNames>
    <definedName function="false" hidden="true" localSheetId="4" name="_xlnm._FilterDatabase" vbProcedure="false">Classement!$A$4:$S$87</definedName>
    <definedName function="false" hidden="true" localSheetId="1" name="_xlnm._FilterDatabase" vbProcedure="false">Critères!$A$4:$K$40</definedName>
    <definedName function="false" hidden="true" localSheetId="2" name="_xlnm._FilterDatabase" vbProcedure="false">Identification!$A$1:$T$84</definedName>
    <definedName function="false" hidden="true" localSheetId="3" name="_xlnm._FilterDatabase" vbProcedure="false">Scoring!$A$4:$AY$87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<sst xmlns="http://schemas.openxmlformats.org/spreadsheetml/2006/main" count="3284" uniqueCount="1391">
  <si>
    <t xml:space="preserve">StatApp 2026-2027 : sélection des sujets (KC)</t>
  </si>
  <si>
    <t xml:space="preserve">État du classeur</t>
  </si>
  <si>
    <t xml:space="preserve">Phases 1 et 2 réalisées : critères avec ancres (feuille « Critères »), identification des 83 sujets (« Identification »), scoring (« Scoring »), classement High / Mid / Ne pas toucher (« Classement »), règles (« Règles de classement ») et sources de la recherche web (« Sources web »). Tout est provisoire et à relire : les ancres et les critères n'ont pas encore été validés.</t>
  </si>
  <si>
    <t xml:space="preserve">Source : les 83 fiches PDF du dossier Docs/ (sujets n° 279 à 366 ; les numéros 283, 286, 287, 335 et 336 n'existent pas dans le dossier). Le lien « Ouvrir le PDF » est relatif à l'emplacement de ce classeur.</t>
  </si>
  <si>
    <t xml:space="preserve">Conventions de la feuille Identification</t>
  </si>
  <si>
    <t xml:space="preserve">Extraites telles quelles de la fiche : n°, organisme, titre, catégorie ENSAE, proposant, notation et commentaire ENSAE.</t>
  </si>
  <si>
    <t xml:space="preserve">Rédigées à la lecture de la fiche, sans jugement de valeur : type d'organisme, domaine réel, résumé, thèmes, méthodes, nature et statut des données, outils. Une information absente de la fiche est notée « non précisée » ou « à définir », jamais complétée par supposition.</t>
  </si>
  <si>
    <t xml:space="preserve">« Cohérence label ↔ contenu » : Oui, Partiel ou Non. Elle signale les sujets dont la catégorie ENSAE ne reflète pas bien le contenu. C'est un repérage, pas un score.</t>
  </si>
  <si>
    <t xml:space="preserve">« Type d'organisme » : déduit du nom et de la fiche ; les cas incertains sont marqués « à vérifier ». Les organismes CREST (toutes variantes de nom) sont regroupés pour le comptage.</t>
  </si>
  <si>
    <t xml:space="preserve">« Nb de fiches du même organisme » : valeur calculée une fois par script (non liée par formule).</t>
  </si>
  <si>
    <t xml:space="preserve">Notation ENSAE : à lire avec prudence</t>
  </si>
  <si>
    <t xml:space="preserve">Seules 20 fiches sur 83 portent une notation (8 « 3 », 7 « 2 », 5 « 1 »). L'absence de note n'est pas une mauvaise note : c'est une inconnue. Les agents d'analyse recevront cette information uniquement dans la lentille Note et faisabilité, pour ne pas biaiser les autres lentilles.</t>
  </si>
  <si>
    <t xml:space="preserve">Livrable prévu de la phase d'analyse (cadre proposé, à valider)</t>
  </si>
  <si>
    <t xml:space="preserve">Pas de pondération. Trois classes : High priority, Mid priority, Ne pas toucher. Chacune divisée en deux ou trois sous-catégories qui décrivent le profil du sujet, puis un classement des sujets au sein de chaque sous-catégorie, avec pour chaque sujet l'avis et le conseil de l'agent.</t>
  </si>
  <si>
    <t xml:space="preserve">High : H1 Cœur de cible (adéquation et signal forts, faisabilité correcte) ; H2 Pari à fort potentiel (très bon fit ou signal, mais risque sur les données, la difficulté ou la demande) ; H3 Valeur sûre (bon fit, bonne note probable, effort modéré).</t>
  </si>
  <si>
    <t xml:space="preserve">Mid : M1 Bon signal, fit partiel ; M2 Bon fit, signal limité ; M3 Plan B polyvalent (compétences portables, peu risqué, utile pour compléter les 12 vœux).</t>
  </si>
  <si>
    <t xml:space="preserve">Ne pas toucher : N1 Hors parcours ; N2 Risque trop élevé (données absentes, hors champ ENSAE, niveau trop avancé) ; N3 Coût supérieur à la valeur.</t>
  </si>
  <si>
    <t xml:space="preserve">Contraintes connues</t>
  </si>
  <si>
    <t xml:space="preserve">Attribution par classement de 12 vœux, hiérarchisés de 1 à 12 ; pas de vœu au-delà. Groupes de 4 à 5 personnes. Le dossier d'attribution reste à confirmer pour la formation des groupes.</t>
  </si>
  <si>
    <t xml:space="preserve">ACAS lu comme l'Associate of the Casualty Actuarial Society (filière non-vie / P&amp;C / catastrophe). L'assurance vie est conservée comme piste d'exploration (critère A3).</t>
  </si>
  <si>
    <t xml:space="preserve">Feuilles ajoutées lors de la phase d'analyse</t>
  </si>
  <si>
    <t xml:space="preserve">Scoring : 83 sujets × 36 critères, notés de 1 à 5 selon les ancres. Les familles (Fit, Signal, Exit, Note, Apprentissage, Risque) et l'indice sont des formules. A9 (motivation) et F4 (calendrier) sont laissés vides pour KC. Trois colonnes de confiance et de traçabilité accompagnent chaque sujet.</t>
  </si>
  <si>
    <t xml:space="preserve">Classement : les trois classes et leurs neuf sous-catégories, avec un rang, un avis et un conseil par sujet. Classes et rangs sont figés ; seuls les indicateurs se recalculent.</t>
  </si>
  <si>
    <t xml:space="preserve">Règles de classement : les seuils qui ont servi à classer, appliqués dans un ordre fixe, et les définitions des familles. Aucune pondération entre critères ni entre familles.</t>
  </si>
  <si>
    <t xml:space="preserve">Sources web : ce qui a été trouvé par organisme et par encadrant, avec le niveau de confiance et les liens consultés.</t>
  </si>
  <si>
    <t xml:space="preserve">Méthode et limites</t>
  </si>
  <si>
    <t xml:space="preserve">Les scores sont des jugements posés à partir du texte des fiches PDF et d'une recherche web (mode standard). Une information absente reste une inconnue : elle n'est pas complétée par supposition.</t>
  </si>
  <si>
    <t xml:space="preserve">La note et le commentaire ENSAE n'ont été lus qu'après la première passe de scoring, pour ne pas biaiser les autres lentilles. Ils ne servent qu'à D1 et à ajuster D2 à D5 quand le commentaire apporte une information ; chaque ajustement est tracé dans la dernière colonne de « Scoring ».</t>
  </si>
  <si>
    <t xml:space="preserve">D1 : les 63 sujets sans note reçoivent 3 par défaut, en gris italique, sans pénalité. La feuille « Critères » les décrit comme « pas bon signe » ; ce choix est à confirmer par KC.</t>
  </si>
  <si>
    <t xml:space="preserve">Le commentaire ENSAE du sujet 279 parle de « fine tuning de LLM » alors que la fiche décrit une newsletter sur l'IA : il vise sans doute une version antérieure du sujet. Il ne change pas le classement (note 1, hors champ).</t>
  </si>
  <si>
    <t xml:space="preserve">La recherche web ne donne presque rien sur les praticiens en entreprise : B3 vaut 3 par défaut avec une confiance faible. Les offres d'emploi trouvées sont des indices de débouchés, pas des garanties.</t>
  </si>
  <si>
    <t xml:space="preserve">Les sujets 281, 282 et 361 (HSBC) se recoupent, comme 332, 333, 364 et 365 (Symbiotics) : il est inutile d'en demander plusieurs du même encadrant.</t>
  </si>
  <si>
    <t xml:space="preserve">Critères de scoring des sujets StatApp : version 2 (à valider)</t>
  </si>
  <si>
    <t xml:space="preserve">Échelle : 1 à 5 avec des ancres décrites par critère (rédigées, à relire). Pour « Valeur », 5 = excellent. Pour « Coût et risque », 5 = très coûteux ou risqué. Pas de pondération à ce stade. AJOUT = demandé lors de la dernière session.</t>
  </si>
  <si>
    <t xml:space="preserve">Code</t>
  </si>
  <si>
    <t xml:space="preserve">Famille</t>
  </si>
  <si>
    <t xml:space="preserve">Critère</t>
  </si>
  <si>
    <t xml:space="preserve">Ce que mesure le critère</t>
  </si>
  <si>
    <t xml:space="preserve">Sens</t>
  </si>
  <si>
    <t xml:space="preserve">Source d'information</t>
  </si>
  <si>
    <t xml:space="preserve">Lentille (agent)</t>
  </si>
  <si>
    <t xml:space="preserve">Statut vs v1</t>
  </si>
  <si>
    <t xml:space="preserve">Ancre 1</t>
  </si>
  <si>
    <t xml:space="preserve">Ancre 3</t>
  </si>
  <si>
    <t xml:space="preserve">Ancre 5</t>
  </si>
  <si>
    <t xml:space="preserve">A1</t>
  </si>
  <si>
    <t xml:space="preserve">A. Adéquation carrière</t>
  </si>
  <si>
    <t xml:space="preserve">Actuariat non-vie / ACAS</t>
  </si>
  <si>
    <t xml:space="preserve">GLM, fréquence-sévérité, tarification, provisionnement, théorie du risque (filière CAS)</t>
  </si>
  <si>
    <t xml:space="preserve">Valeur</t>
  </si>
  <si>
    <t xml:space="preserve">Fiche</t>
  </si>
  <si>
    <t xml:space="preserve">L1 Carrière</t>
  </si>
  <si>
    <t xml:space="preserve">v1</t>
  </si>
  <si>
    <t xml:space="preserve">Aucun lien avec l'assurance non-vie ni la théorie du risque.</t>
  </si>
  <si>
    <t xml:space="preserve">Assurance non-vie en simple contexte, ou méthode de la filière (GLM, séries temporelles) appliquée hors assurance.</t>
  </si>
  <si>
    <t xml:space="preserve">Tarification, fréquence-sévérité, provisionnement ou théorie du risque non-vie au cœur du sujet, sur données d'assurance.</t>
  </si>
  <si>
    <t xml:space="preserve">A2</t>
  </si>
  <si>
    <t xml:space="preserve">Réassurance / risque extrême / catastrophe</t>
  </si>
  <si>
    <t xml:space="preserve">Valeurs extrêmes, queues épaisses, copules, scénarios, climat et périls naturels, assurabilité</t>
  </si>
  <si>
    <t xml:space="preserve">Aucun lien avec les extrêmes, les périls naturels ou la réassurance.</t>
  </si>
  <si>
    <t xml:space="preserve">Risque climatique ou périls naturels abordés sans queues épaisses ni scénarios, ou méthodes d'extrêmes sur un objet non assurantiel.</t>
  </si>
  <si>
    <t xml:space="preserve">Valeurs extrêmes, copules, modélisation de catastrophes ou assurabilité du risque climatique au cœur du sujet.</t>
  </si>
  <si>
    <t xml:space="preserve">A3</t>
  </si>
  <si>
    <t xml:space="preserve">Assurance vie / prévoyance (exploration)</t>
  </si>
  <si>
    <t xml:space="preserve">Mortalité, longévité, incapacité, ALM, Solvabilité II. Critère d'exploration : la filière ACAS n'est pas vie</t>
  </si>
  <si>
    <t xml:space="preserve">AJOUT</t>
  </si>
  <si>
    <t xml:space="preserve">Aucun lien avec la mortalité, la longévité, l'incapacité ou l'ALM.</t>
  </si>
  <si>
    <t xml:space="preserve">Un volet vie ou prévoyance parmi d'autres (mortalité en variable annexe, ALM survolé).</t>
  </si>
  <si>
    <t xml:space="preserve">Mortalité, longévité, incapacité, ALM ou Solvabilité II vie au cœur du sujet. Critère d'exploration.</t>
  </si>
  <si>
    <t xml:space="preserve">A4</t>
  </si>
  <si>
    <t xml:space="preserve">Quant finance (research / trading)</t>
  </si>
  <si>
    <t xml:space="preserve">Maths stochastiques, séries temporelles, dérivés, rigueur ; niveau mathématique lisible</t>
  </si>
  <si>
    <t xml:space="preserve">Aucun lien avec la finance de marché ; mathématiques élémentaires.</t>
  </si>
  <si>
    <t xml:space="preserve">Finance de marché (taux, actions, crédit) avec séries temporelles ou modèles classiques ; mathématiques peu visibles dans la fiche.</t>
  </si>
  <si>
    <t xml:space="preserve">Modèles stochastiques, dérivés, courbe de taux ou séries financières, avec un niveau mathématique clairement lisible dans la fiche.</t>
  </si>
  <si>
    <t xml:space="preserve">A5</t>
  </si>
  <si>
    <t xml:space="preserve">Conseil généraliste (stratégie / risque)</t>
  </si>
  <si>
    <t xml:space="preserve">Cas business, restitution client, sectoriel (type Oliver Wyman, ICG)</t>
  </si>
  <si>
    <t xml:space="preserve">Fiche + web</t>
  </si>
  <si>
    <t xml:space="preserve">Sujet purement académique, sans client ni lecture business.</t>
  </si>
  <si>
    <t xml:space="preserve">Question métier réelle mais mono-sectorielle, ou restitution à un client seulement implicite.</t>
  </si>
  <si>
    <t xml:space="preserve">Cas business avec restitution à un client et décision à éclairer, dans l'esprit d'un cabinet de stratégie ou de risque.</t>
  </si>
  <si>
    <t xml:space="preserve">A6</t>
  </si>
  <si>
    <t xml:space="preserve">Conseil spécialisé actuariat</t>
  </si>
  <si>
    <t xml:space="preserve">Missions actuarielles en cabinet : modèles, provisionnement, réglementaire, études pour assureurs et réassureurs</t>
  </si>
  <si>
    <t xml:space="preserve">Aucune mission de type actuariat en cabinet.</t>
  </si>
  <si>
    <t xml:space="preserve">Étude actuarielle ou réglementaire menée en interne chez un assureur ou une banque, ou cabinet sur un sujet non actuariel.</t>
  </si>
  <si>
    <t xml:space="preserve">Mission type d'un cabinet d'actuariat : modèle, provisionnement, réglementaire, étude pour assureurs ou réassureurs.</t>
  </si>
  <si>
    <t xml:space="preserve">A7</t>
  </si>
  <si>
    <t xml:space="preserve">Institutions et développement</t>
  </si>
  <si>
    <t xml:space="preserve">Assurance paramétrique, pays émergents, secteur public, risque climatique souverain (type African Risk Capacity)</t>
  </si>
  <si>
    <t xml:space="preserve">Aucun lien avec le secteur public, les pays émergents ou l'assurance paramétrique.</t>
  </si>
  <si>
    <t xml:space="preserve">Institution publique ou question de développement, sans lien direct avec le risque ou l'assurance.</t>
  </si>
  <si>
    <t xml:space="preserve">Assurance paramétrique, risque climatique souverain, pays émergents ou institution internationale, avec lien direct au risque.</t>
  </si>
  <si>
    <t xml:space="preserve">A8</t>
  </si>
  <si>
    <t xml:space="preserve">Compétences portables</t>
  </si>
  <si>
    <t xml:space="preserve">Compétences réutilisables dans plusieurs voies (R/Python, bayésien, survie, spatial, ML)</t>
  </si>
  <si>
    <t xml:space="preserve">Méthode ou outil de niche, difficilement réutilisable ailleurs.</t>
  </si>
  <si>
    <t xml:space="preserve">Deux ou trois compétences standard (Python, ML classique, séries temporelles), réutilisables mais génériques.</t>
  </si>
  <si>
    <t xml:space="preserve">Plusieurs compétences recherchées dans plusieurs voies (bayésien, survie, spatial, ML, R et Python) réellement pratiquées.</t>
  </si>
  <si>
    <t xml:space="preserve">A9</t>
  </si>
  <si>
    <t xml:space="preserve">Motivation réelle</t>
  </si>
  <si>
    <t xml:space="preserve">Intérêt intrinsèque du sujet pour KC et le groupe sur quatre à cinq mois</t>
  </si>
  <si>
    <t xml:space="preserve">KC</t>
  </si>
  <si>
    <t xml:space="preserve">KC (humain)</t>
  </si>
  <si>
    <t xml:space="preserve">Aucun intérêt ; sujet subi. Note donnée par KC, jamais par un agent.</t>
  </si>
  <si>
    <t xml:space="preserve">Intérêt correct, sans enthousiasme.</t>
  </si>
  <si>
    <t xml:space="preserve">Vrai intérêt personnel, tenable sur quatre à cinq mois pour KC et le groupe.</t>
  </si>
  <si>
    <t xml:space="preserve">B1</t>
  </si>
  <si>
    <t xml:space="preserve">B. Signal marque et encadrant</t>
  </si>
  <si>
    <t xml:space="preserve">Notoriété de l'organisme</t>
  </si>
  <si>
    <t xml:space="preserve">Marque connue et influente, tous secteurs</t>
  </si>
  <si>
    <t xml:space="preserve">Web</t>
  </si>
  <si>
    <t xml:space="preserve">L2 Signal &amp; exit</t>
  </si>
  <si>
    <t xml:space="preserve">Organisme inconnu hors de son cercle.</t>
  </si>
  <si>
    <t xml:space="preserve">Connu dans son secteur ou en France.</t>
  </si>
  <si>
    <t xml:space="preserve">Marque connue et influente dans plusieurs secteurs, reconnue à l'international.</t>
  </si>
  <si>
    <t xml:space="preserve">B2</t>
  </si>
  <si>
    <t xml:space="preserve">Pertinence de la marque pour nos cibles</t>
  </si>
  <si>
    <t xml:space="preserve">Poids de la marque auprès des réassureurs, cabinets, quant et institutions visés</t>
  </si>
  <si>
    <t xml:space="preserve">Marque sans poids auprès des réassureurs, cabinets, acteurs quant ou institutions visés.</t>
  </si>
  <si>
    <t xml:space="preserve">Marque connue d'une partie seulement des cibles.</t>
  </si>
  <si>
    <t xml:space="preserve">Marque qui compte directement auprès de plusieurs types de cibles (réassureurs, cabinets, quant, institutions).</t>
  </si>
  <si>
    <t xml:space="preserve">B3</t>
  </si>
  <si>
    <t xml:space="preserve">Réputation de l'encadrant</t>
  </si>
  <si>
    <t xml:space="preserve">Publications, poste, financement (ERC), rang dans le milieu</t>
  </si>
  <si>
    <t xml:space="preserve">Encadrant introuvable, sans publication ni poste visible.</t>
  </si>
  <si>
    <t xml:space="preserve">Praticien confirmé ou chercheur avec quelques publications.</t>
  </si>
  <si>
    <t xml:space="preserve">Chercheur reconnu (publications nombreuses, financement type ERC) ou responsable de premier plan de l'équipe visée.</t>
  </si>
  <si>
    <t xml:space="preserve">B4</t>
  </si>
  <si>
    <t xml:space="preserve">Lisibilité en une ligne</t>
  </si>
  <si>
    <t xml:space="preserve">L'intitulé se comprend et se vend sur un CV ou LinkedIn auprès d'un recruteur suisse ou américain</t>
  </si>
  <si>
    <t xml:space="preserve">Intitulé long, obscur ou trompeur ; impossible à résumer en une ligne.</t>
  </si>
  <si>
    <t xml:space="preserve">Se comprend après relecture, ou lisible seulement pour un spécialiste.</t>
  </si>
  <si>
    <t xml:space="preserve">Intitulé immédiatement clair et vendeur auprès d'un recruteur suisse ou américain.</t>
  </si>
  <si>
    <t xml:space="preserve">B5</t>
  </si>
  <si>
    <t xml:space="preserve">Signal académique</t>
  </si>
  <si>
    <t xml:space="preserve">Publiable ou citable ; utile au dossier double diplôme et à une éventuelle poursuite en recherche</t>
  </si>
  <si>
    <t xml:space="preserve">Aucune perspective de publication ni de citation.</t>
  </si>
  <si>
    <t xml:space="preserve">Rapport sérieux mais peu publiable en l'état.</t>
  </si>
  <si>
    <t xml:space="preserve">Publiable ou citable (revue, workshop, preprint), encadrement académique, utile au dossier double diplôme.</t>
  </si>
  <si>
    <t xml:space="preserve">C1</t>
  </si>
  <si>
    <t xml:space="preserve">C. Exit</t>
  </si>
  <si>
    <t xml:space="preserve">Probabilité de débouché</t>
  </si>
  <si>
    <t xml:space="preserve">Stage ou offre via l'organisme : équipe qui recrute, programme de stage, historique</t>
  </si>
  <si>
    <t xml:space="preserve">Aucun lien connu entre l'organisme et le recrutement d'étudiants.</t>
  </si>
  <si>
    <t xml:space="preserve">L'organisme recrute des stagiaires ou des alternants, mais pas via cette équipe ni ce sujet.</t>
  </si>
  <si>
    <t xml:space="preserve">Équipe qui recrute, programme de stage, ou historique d'élèves recrutés après un StatApp.</t>
  </si>
  <si>
    <t xml:space="preserve">C2</t>
  </si>
  <si>
    <t xml:space="preserve">Recommandation et réseau</t>
  </si>
  <si>
    <t xml:space="preserve">Accès à des actuaires ou quants, qualité d'une lettre de recommandation, introductions</t>
  </si>
  <si>
    <t xml:space="preserve">Pas d'accès à des actuaires ou quants ; encadrant peu disponible.</t>
  </si>
  <si>
    <t xml:space="preserve">Contact avec un praticien capable d'écrire une lettre honnête.</t>
  </si>
  <si>
    <t xml:space="preserve">Accès direct à des actuaires ou quants seniors ; lettre à fort poids ; introductions probables.</t>
  </si>
  <si>
    <t xml:space="preserve">C3</t>
  </si>
  <si>
    <t xml:space="preserve">Portée internationale</t>
  </si>
  <si>
    <t xml:space="preserve">Suisse et États-Unis : anglais, présence de l'organisme à Zurich ou aux États-Unis</t>
  </si>
  <si>
    <t xml:space="preserve">Organisme local, travail uniquement en français.</t>
  </si>
  <si>
    <t xml:space="preserve">Organisme international ou travail en anglais, sans présence à Zurich ni aux États-Unis.</t>
  </si>
  <si>
    <t xml:space="preserve">Travail en anglais et organisme présent à Zurich ou aux États-Unis.</t>
  </si>
  <si>
    <t xml:space="preserve">C4</t>
  </si>
  <si>
    <t xml:space="preserve">Valeur en entretien</t>
  </si>
  <si>
    <t xml:space="preserve">Un récit défendable : problème, méthode, résultat chiffré</t>
  </si>
  <si>
    <t xml:space="preserve">Pas de récit défendable : problème flou, aucun résultat attendu.</t>
  </si>
  <si>
    <t xml:space="preserve">Problème et méthode clairs, résultat peu chiffrable.</t>
  </si>
  <si>
    <t xml:space="preserve">Récit complet (problème, méthode, résultat chiffré), racontable en deux minutes.</t>
  </si>
  <si>
    <t xml:space="preserve">D1</t>
  </si>
  <si>
    <t xml:space="preserve">D. Note</t>
  </si>
  <si>
    <t xml:space="preserve">Notation et commentaire ENSAE</t>
  </si>
  <si>
    <t xml:space="preserve">Note 1-3 et commentaire de l'équipe pédagogique (63 fiches sur 83 sans note : inconnue, pas bon signe)</t>
  </si>
  <si>
    <t xml:space="preserve">L3 Note &amp; faisabilité</t>
  </si>
  <si>
    <t xml:space="preserve">Note 1, ou commentaire déconseillant le sujet.</t>
  </si>
  <si>
    <t xml:space="preserve">Note 2. Sujet non noté : 3 par défaut, signalé « inconnue » et non pénalisé (à confirmer par KC).</t>
  </si>
  <si>
    <t xml:space="preserve">Note 3 avec commentaire positif de l'équipe pédagogique.</t>
  </si>
  <si>
    <t xml:space="preserve">D2</t>
  </si>
  <si>
    <t xml:space="preserve">Clarté du cahier des charges</t>
  </si>
  <si>
    <t xml:space="preserve">Objectif, hypothèse de travail, livrables précisés</t>
  </si>
  <si>
    <t xml:space="preserve">Objectif vague ; ni hypothèse de travail ni livrables.</t>
  </si>
  <si>
    <t xml:space="preserve">Objectif clair, mais hypothèse ou livrables à préciser.</t>
  </si>
  <si>
    <t xml:space="preserve">Objectif, hypothèse de travail, données et livrables explicitement précisés.</t>
  </si>
  <si>
    <t xml:space="preserve">D3</t>
  </si>
  <si>
    <t xml:space="preserve">Données : disponibilité et accès</t>
  </si>
  <si>
    <t xml:space="preserve">Données précisées ? NDA ? taille ? délais d'accès. Le risque n°1</t>
  </si>
  <si>
    <t xml:space="preserve">Coût et risque</t>
  </si>
  <si>
    <t xml:space="preserve">Données publiques précisées, accessibles tout de suite, sans NDA.</t>
  </si>
  <si>
    <t xml:space="preserve">Données annoncées mais accès non confirmé, ou délai d'accès probable.</t>
  </si>
  <si>
    <t xml:space="preserve">Données non précisées, sous NDA lourd ou à constituer. Risque n°1.</t>
  </si>
  <si>
    <t xml:space="preserve">D4</t>
  </si>
  <si>
    <t xml:space="preserve">Adéquation au programme de 2A</t>
  </si>
  <si>
    <t xml:space="preserve">Cours effectivement vus en 2A (GLM, séries temporelles, économétrie, ML…)</t>
  </si>
  <si>
    <t xml:space="preserve">Méthodes hors de tout cours de 1A et 2A.</t>
  </si>
  <si>
    <t xml:space="preserve">La moitié des méthodes est vue en cours, le reste est à apprendre seul.</t>
  </si>
  <si>
    <t xml:space="preserve">Méthodes couvertes par les cours de 2A (GLM, séries temporelles, économétrie, ML).</t>
  </si>
  <si>
    <t xml:space="preserve">D5</t>
  </si>
  <si>
    <t xml:space="preserve">Calibrage scientifique</t>
  </si>
  <si>
    <t xml:space="preserve">Ni niveau thèse, ni contenu trop mince : risque pour la note. À fusionner éventuellement avec F2</t>
  </si>
  <si>
    <t xml:space="preserve">Niveau juste pour un élève de 2A : ni trop dur, ni trop mince.</t>
  </si>
  <si>
    <t xml:space="preserve">Un peu trop ambitieux ou un peu léger, ajustable avec l'encadrant.</t>
  </si>
  <si>
    <t xml:space="preserve">Niveau thèse, ou contenu si mince que la note est en danger.</t>
  </si>
  <si>
    <t xml:space="preserve">D6</t>
  </si>
  <si>
    <t xml:space="preserve">Qualité probable de l'encadrement</t>
  </si>
  <si>
    <t xml:space="preserve">Académique ou industrie, réactivité, historique (information faible)</t>
  </si>
  <si>
    <t xml:space="preserve">Encadrant injoignable ou peu impliqué ; historique négatif.</t>
  </si>
  <si>
    <t xml:space="preserve">Encadrement standard, sans information particulière (information faible).</t>
  </si>
  <si>
    <t xml:space="preserve">Encadrant réactif, cadre clair, historique d'encadrement d'élèves ENSAE.</t>
  </si>
  <si>
    <t xml:space="preserve">E1</t>
  </si>
  <si>
    <t xml:space="preserve">E. Apprentissage et différenciation</t>
  </si>
  <si>
    <t xml:space="preserve">Profondeur mathématique et statistique</t>
  </si>
  <si>
    <t xml:space="preserve">Le signal « raw power » : démonstrations, modèles non triviaux</t>
  </si>
  <si>
    <t xml:space="preserve">L4 Apprentissage &amp; différenciation</t>
  </si>
  <si>
    <t xml:space="preserve">Application de méthodes standard, sans démonstration.</t>
  </si>
  <si>
    <t xml:space="preserve">Modèles classiques mais non triviaux, quelques éléments théoriques.</t>
  </si>
  <si>
    <t xml:space="preserve">Démonstrations et modèles non triviaux ; fort signal de « raw power ».</t>
  </si>
  <si>
    <t xml:space="preserve">E2</t>
  </si>
  <si>
    <t xml:space="preserve">Nouveauté des méthodes acquises</t>
  </si>
  <si>
    <t xml:space="preserve">Valeurs extrêmes, survie, bayésien, ML moderne, spatial…</t>
  </si>
  <si>
    <t xml:space="preserve">Méthodes déjà maîtrisées en fin de 2A.</t>
  </si>
  <si>
    <t xml:space="preserve">Une méthode nouvelle et significative (survie, bayésien…), le reste est connu.</t>
  </si>
  <si>
    <t xml:space="preserve">Plusieurs méthodes nouvelles et valorisables (valeurs extrêmes, survie, bayésien, ML moderne, spatial).</t>
  </si>
  <si>
    <t xml:space="preserve">E3</t>
  </si>
  <si>
    <t xml:space="preserve">Livrable montrable</t>
  </si>
  <si>
    <t xml:space="preserve">Code, outil, papier, sous réserve de confidentialité</t>
  </si>
  <si>
    <t xml:space="preserve">Livrable confidentiel ou interne ; rien à montrer.</t>
  </si>
  <si>
    <t xml:space="preserve">Rapport en partie montrable ; code non publiable.</t>
  </si>
  <si>
    <t xml:space="preserve">Code, outil ou papier montrables publiquement (portfolio, GitHub, preprint).</t>
  </si>
  <si>
    <t xml:space="preserve">E4</t>
  </si>
  <si>
    <t xml:space="preserve">Différenciation</t>
  </si>
  <si>
    <t xml:space="preserve">Sujet que peu d'élèves choisiront ; sujets mal étiquetés (alpha caché)</t>
  </si>
  <si>
    <t xml:space="preserve">Fiche + autres lentilles</t>
  </si>
  <si>
    <t xml:space="preserve">Sujet attendu, que beaucoup d'élèves choisiront ; label fidèle au contenu.</t>
  </si>
  <si>
    <t xml:space="preserve">Sujet moyennement populaire.</t>
  </si>
  <si>
    <t xml:space="preserve">Peu d'élèves le choisiront, ou alpha caché (label moins bon que le contenu).</t>
  </si>
  <si>
    <t xml:space="preserve">F1</t>
  </si>
  <si>
    <t xml:space="preserve">F. Coût et faisabilité</t>
  </si>
  <si>
    <t xml:space="preserve">Budget de temps réaliste</t>
  </si>
  <si>
    <t xml:space="preserve">Heures totales estimées, ramenées à une personne pour un groupe de 4 à 5</t>
  </si>
  <si>
    <t xml:space="preserve">Très largement tenable : bien en deçà du temps disponible par personne.</t>
  </si>
  <si>
    <t xml:space="preserve">Tenable en travaillant normalement, sans marge. Seuils en heures à calibrer avec KC.</t>
  </si>
  <si>
    <t xml:space="preserve">Dépasse le temps disponible par personne, même à 4 ou 5 dans le groupe.</t>
  </si>
  <si>
    <t xml:space="preserve">F2</t>
  </si>
  <si>
    <t xml:space="preserve">Difficulté technique</t>
  </si>
  <si>
    <t xml:space="preserve">Effort d'apprentissage : méthodes et outils nouveaux, théorie à maîtriser</t>
  </si>
  <si>
    <t xml:space="preserve">Méthodes et outils déjà connus ; aucune théorie nouvelle.</t>
  </si>
  <si>
    <t xml:space="preserve">Une méthode ou un outil nouveau à apprendre en quelques semaines.</t>
  </si>
  <si>
    <t xml:space="preserve">Plusieurs méthodes et outils nouveaux ; théorie lourde à maîtriser avant de produire.</t>
  </si>
  <si>
    <t xml:space="preserve">F3</t>
  </si>
  <si>
    <t xml:space="preserve">Charge de préparation des données</t>
  </si>
  <si>
    <t xml:space="preserve">Collecte, nettoyage, appariement, mise en forme avant toute modélisation</t>
  </si>
  <si>
    <t xml:space="preserve">Données propres et prêtes à l'emploi, ou simulées.</t>
  </si>
  <si>
    <t xml:space="preserve">Nettoyage et mise en forme significatifs sur une source.</t>
  </si>
  <si>
    <t xml:space="preserve">Collecte, appariement de plusieurs sources et nettoyage lourd avant toute modélisation.</t>
  </si>
  <si>
    <t xml:space="preserve">F4</t>
  </si>
  <si>
    <t xml:space="preserve">Compatibilité avec le calendrier</t>
  </si>
  <si>
    <t xml:space="preserve">Examens ACAS, candidature double diplôme, point d'étape de mars</t>
  </si>
  <si>
    <t xml:space="preserve">Aucun conflit avec les examens ACAS, la candidature double diplôme ni le point d'étape de mars. Note donnée par KC.</t>
  </si>
  <si>
    <t xml:space="preserve">Un pic de charge se superpose en partie à ces échéances.</t>
  </si>
  <si>
    <t xml:space="preserve">Charge maximale au moment des examens ou des candidatures.</t>
  </si>
  <si>
    <t xml:space="preserve">F5</t>
  </si>
  <si>
    <t xml:space="preserve">Risque d'exécution</t>
  </si>
  <si>
    <t xml:space="preserve">Stack inconnue, GPU, données lourdes, dépendance à un tiers</t>
  </si>
  <si>
    <t xml:space="preserve">Stack connue, calcul léger, aucune dépendance à un tiers.</t>
  </si>
  <si>
    <t xml:space="preserve">Une dépendance (stack inconnue ou données lourdes), contournable.</t>
  </si>
  <si>
    <t xml:space="preserve">GPU, données très lourdes ou dépendance critique à un tiers (accès, encadrant).</t>
  </si>
  <si>
    <t xml:space="preserve">F6</t>
  </si>
  <si>
    <t xml:space="preserve">Répartissabilité à 4-5</t>
  </si>
  <si>
    <t xml:space="preserve">Le travail se découpe-t-il en quatre ou cinq lots sans dépendance bloquante ?</t>
  </si>
  <si>
    <t xml:space="preserve">Se découpe facilement en quatre ou cinq lots indépendants.</t>
  </si>
  <si>
    <t xml:space="preserve">Se découpe en trois lots, avec des dépendances ordonnées.</t>
  </si>
  <si>
    <t xml:space="preserve">Travail essentiellement séquentiel ou monolithique ; lots bloquants.</t>
  </si>
  <si>
    <t xml:space="preserve">F7</t>
  </si>
  <si>
    <t xml:space="preserve">Confidentialité</t>
  </si>
  <si>
    <t xml:space="preserve">Interdit-elle de citer le projet ou de publier le code ?</t>
  </si>
  <si>
    <t xml:space="preserve">Aucune restriction : projet et code citables et publiables.</t>
  </si>
  <si>
    <t xml:space="preserve">Projet citable, mais code ou données non publiables.</t>
  </si>
  <si>
    <t xml:space="preserve">Projet non citable et code interdit de publication (NDA strict).</t>
  </si>
  <si>
    <t xml:space="preserve">F8</t>
  </si>
  <si>
    <t xml:space="preserve">Probabilité d'obtenir le sujet</t>
  </si>
  <si>
    <t xml:space="preserve">Demande attendue des autres élèves ; attribution par classement de 12 vœux</t>
  </si>
  <si>
    <t xml:space="preserve">Demande probablement faible : très bonnes chances de l'obtenir avec un bon rang de vœu.</t>
  </si>
  <si>
    <t xml:space="preserve">Demande moyenne.</t>
  </si>
  <si>
    <t xml:space="preserve">Très demandé (marque connue, sujet populaire, note 3) ; peu de chances même en vœu 1.</t>
  </si>
  <si>
    <t xml:space="preserve">Total : 36 critères (6 ajoutés).</t>
  </si>
  <si>
    <t xml:space="preserve">N° sujet</t>
  </si>
  <si>
    <t xml:space="preserve">Organisme</t>
  </si>
  <si>
    <t xml:space="preserve">Titre (fiche)</t>
  </si>
  <si>
    <t xml:space="preserve">Catégorie ENSAE (label officiel)</t>
  </si>
  <si>
    <t xml:space="preserve">Type d'organisme</t>
  </si>
  <si>
    <t xml:space="preserve">Proposant</t>
  </si>
  <si>
    <t xml:space="preserve">Langue</t>
  </si>
  <si>
    <t xml:space="preserve">Domaine réel (déduit du contenu)</t>
  </si>
  <si>
    <t xml:space="preserve">Résumé (en une à deux phrases)</t>
  </si>
  <si>
    <t xml:space="preserve">Thèmes / mots-clés</t>
  </si>
  <si>
    <t xml:space="preserve">Méthodes annoncées</t>
  </si>
  <si>
    <t xml:space="preserve">Nature des données</t>
  </si>
  <si>
    <t xml:space="preserve">Statut des données</t>
  </si>
  <si>
    <t xml:space="preserve">Outils cités</t>
  </si>
  <si>
    <t xml:space="preserve">Notation ENSAE (1-3)</t>
  </si>
  <si>
    <t xml:space="preserve">Commentaire ENSAE</t>
  </si>
  <si>
    <t xml:space="preserve">Cohérence label ↔ contenu</t>
  </si>
  <si>
    <t xml:space="preserve">Note sur le label</t>
  </si>
  <si>
    <t xml:space="preserve">Nb de fiches du même organisme</t>
  </si>
  <si>
    <t xml:space="preserve">Fiche PDF</t>
  </si>
  <si>
    <t xml:space="preserve">HSBC Global Asset Management</t>
  </si>
  <si>
    <t xml:space="preserve">Corrélation entre indices Action et Obligataire</t>
  </si>
  <si>
    <t xml:space="preserve">Actuariat</t>
  </si>
  <si>
    <t xml:space="preserve">Gestion d'actifs</t>
  </si>
  <si>
    <t xml:space="preserve">BRACH Loic</t>
  </si>
  <si>
    <t xml:space="preserve">FR</t>
  </si>
  <si>
    <t xml:space="preserve">Assurance vie — ALM / Solvabilité II</t>
  </si>
  <si>
    <t xml:space="preserve">Effet de Solvabilité II sur l'allocation d'actifs des assureurs vie européens (2014-2024, SFCR/EIOPA) + modèle ALM stylisé (SCR, ratio de solvabilité, volatilité du surplus) avec scénarios d'évolution du cadre.</t>
  </si>
  <si>
    <t xml:space="preserve">Solvabilité II, ALM, allocation stratégique, SCR, assureurs vie</t>
  </si>
  <si>
    <t xml:space="preserve">Formule standard Solvabilité II, optimisation de type Markowitz, simulation de scénarios</t>
  </si>
  <si>
    <t xml:space="preserve">Mixte</t>
  </si>
  <si>
    <t xml:space="preserve">Précisées (données de marché + SFCR/EIOPA publics)</t>
  </si>
  <si>
    <t xml:space="preserve">C'est un sujet un peu avancé par rapport à la deuxième année de formation. Donc les élèves doivent en être conscients.</t>
  </si>
  <si>
    <t xml:space="preserve">Partiel</t>
  </si>
  <si>
    <t xml:space="preserve">Le titre (corrélation actions/obligations) masque un sujet ALM / Solvabilité II pour assureurs vie</t>
  </si>
  <si>
    <t xml:space="preserve">Ouvrir le PDF</t>
  </si>
  <si>
    <t xml:space="preserve">SCOR</t>
  </si>
  <si>
    <t xml:space="preserve">Life and health insurance pricing with geographical data</t>
  </si>
  <si>
    <t xml:space="preserve">Réassurance</t>
  </si>
  <si>
    <t xml:space="preserve">Luong Romain</t>
  </si>
  <si>
    <t xml:space="preserve">EN</t>
  </si>
  <si>
    <t xml:space="preserve">Assurance vie / prévoyance</t>
  </si>
  <si>
    <t xml:space="preserve">La localisation géographique améliore-t-elle la tarification du décès et de l'incapacité de travail ? Hypothèse : effet sur l'incapacité, pas sur la mortalité.</t>
  </si>
  <si>
    <t xml:space="preserve">Prévoyance, mortalité, incapacité, segmentation territoriale, tarification</t>
  </si>
  <si>
    <t xml:space="preserve">Logit, GLM, fréquence-sévérité, modèles de durée, random forests, DeepSurv</t>
  </si>
  <si>
    <t xml:space="preserve">Précisées (portefeuille(s) SCOR internes + open data externes)</t>
  </si>
  <si>
    <t xml:space="preserve">R, Python</t>
  </si>
  <si>
    <t xml:space="preserve">Sujet intéressant, en parfaite adéquation avec les enseignements de 2A.</t>
  </si>
  <si>
    <t xml:space="preserve">Oui</t>
  </si>
  <si>
    <t xml:space="preserve">CREST ENSAE</t>
  </si>
  <si>
    <t xml:space="preserve">Semantic Credit Risk Pricing with Large Language Models</t>
  </si>
  <si>
    <t xml:space="preserve">Recherche académique</t>
  </si>
  <si>
    <t xml:space="preserve">NIAKH Fallou</t>
  </si>
  <si>
    <t xml:space="preserve">Risque de crédit (ML)</t>
  </si>
  <si>
    <t xml:space="preserve">Scoring de crédit par embeddings sémantiques de LLM (prompt → embedding → ACP → régression logistique), transposé de travaux récents sur la tarification en assurance.</t>
  </si>
  <si>
    <t xml:space="preserve">Scoring de crédit, LLM, embeddings, attributs protégés</t>
  </si>
  <si>
    <t xml:space="preserve">Régression logistique, XGBoost/LightGBM, embeddings LLM, ACP, fine-tuning contrastif</t>
  </si>
  <si>
    <t xml:space="preserve">Publiques</t>
  </si>
  <si>
    <t xml:space="preserve">Précisées (German Credit Data, 1 000 obs.)</t>
  </si>
  <si>
    <t xml:space="preserve">Classé Actuariat ; objet = risque de crédit ; méthode importée de la tarification assurance</t>
  </si>
  <si>
    <t xml:space="preserve">Ekimetrics</t>
  </si>
  <si>
    <t xml:space="preserve">Apprentissage de lois a priori par transfert entre portefeuilles : une approche de meta-learning bayésien</t>
  </si>
  <si>
    <t xml:space="preserve">Conseil / data science</t>
  </si>
  <si>
    <t xml:space="preserve">HU François</t>
  </si>
  <si>
    <t xml:space="preserve">Statistique bayésienne — crédibilité actuarielle</t>
  </si>
  <si>
    <t xml:space="preserve">Transfert de lois a priori entre portefeuilles par meta-learning bayésien ; deux terrains simulés : mesure d'efficacité marketing et portefeuilles d'assurance non-vie (GLM Poisson hiérarchique, comparaison à Bühlmann-Straub).</t>
  </si>
  <si>
    <t xml:space="preserve">Théorie de la crédibilité, bayésien hiérarchique, meta-learning, tarification non-vie</t>
  </si>
  <si>
    <t xml:space="preserve">GLM Poisson hiérarchique, régression bayésienne hiérarchique, NUTS/PyMC, estimateur de Bühlmann-Straub</t>
  </si>
  <si>
    <t xml:space="preserve">Simulées</t>
  </si>
  <si>
    <t xml:space="preserve">Précisées (générateur fourni par l'encadrant ; validation sur données réelles optionnelle)</t>
  </si>
  <si>
    <t xml:space="preserve">Python (PyMC)</t>
  </si>
  <si>
    <t xml:space="preserve">Contenu actuariel réel (crédibilité, comptage non-vie) sous un habillage méthodologique</t>
  </si>
  <si>
    <t xml:space="preserve">BNP Paribas Cardif</t>
  </si>
  <si>
    <t xml:space="preserve">Implémentation d'un outil de veille réglementaire assisté par l'intelligence artificielle en assurance</t>
  </si>
  <si>
    <t xml:space="preserve">Assurance</t>
  </si>
  <si>
    <t xml:space="preserve">TOUKAM Eugénie Rinelle</t>
  </si>
  <si>
    <t xml:space="preserve">Assurance — réglementaire / NLP</t>
  </si>
  <si>
    <t xml:space="preserve">Outil de veille réglementaire (EIOPA, ACPR, Commission européenne) assisté par LLM / RAG pour un assureur.</t>
  </si>
  <si>
    <t xml:space="preserve">Solvabilité II, réglementation assurance, NLP, RAG</t>
  </si>
  <si>
    <t xml:space="preserve">NLP, LLM, RAG</t>
  </si>
  <si>
    <t xml:space="preserve">Précisées (textes réglementaires publics)</t>
  </si>
  <si>
    <t xml:space="preserve">Le sujet me semble peu technique et donc il y a un risque élevé de contenu scientifique limité. Il faudra donc bien faire attention à ce point.</t>
  </si>
  <si>
    <t xml:space="preserve">Contexte assurance mais contenu NLP/LLM ; pas de modélisation actuarielle</t>
  </si>
  <si>
    <t xml:space="preserve">KORFED SAS</t>
  </si>
  <si>
    <t xml:space="preserve">Modélisation et prédiction du risque auto : comparaison des méthodes actuarielles, du Machine Learning et de l'Intelligence Artificielle générative</t>
  </si>
  <si>
    <t xml:space="preserve">Non précisé dans la fiche</t>
  </si>
  <si>
    <t xml:space="preserve">KORFED Marouan</t>
  </si>
  <si>
    <t xml:space="preserve">Assurance non-vie (auto)</t>
  </si>
  <si>
    <t xml:space="preserve">Comparer plusieurs générations de modèles de risque auto : GLM actuariels (fréquence et coût), ML (boosting, réseaux de neurones) et IA générative ; arbitrage performance / interprétabilité.</t>
  </si>
  <si>
    <t xml:space="preserve">Tarification auto, fréquence-sévérité, interprétabilité, ML vs GLM</t>
  </si>
  <si>
    <t xml:space="preserve">GLM (Poisson, binomiale négative, Gamma, log-normale), RF, boosting, réseaux de neurones, IA générative, explicabilité</t>
  </si>
  <si>
    <t xml:space="preserve">Internes (fournies)</t>
  </si>
  <si>
    <t xml:space="preserve">Partielles (contrats et sinistres auto anonymisés ; disponibilité non confirmée, cf. commentaire ENSAE)</t>
  </si>
  <si>
    <t xml:space="preserve">Le sujet est adéquat aux attendus du Statapp. Je n'ai pas vu d'infos sur la disponibilité des données.</t>
  </si>
  <si>
    <t xml:space="preserve">HeadMind Partners</t>
  </si>
  <si>
    <t xml:space="preserve">Visual Search – Classification d'image</t>
  </si>
  <si>
    <t xml:space="preserve">Autre</t>
  </si>
  <si>
    <t xml:space="preserve">Conseil / ESN</t>
  </si>
  <si>
    <t xml:space="preserve">DEFOSSEZ Lucie</t>
  </si>
  <si>
    <t xml:space="preserve">ML — vision par ordinateur</t>
  </si>
  <si>
    <t xml:space="preserve">Pipeline de recherche visuelle pour l'e-commerce mode : classifier les vêtements portés sur une photo et retrouver l'article du catalogue.</t>
  </si>
  <si>
    <t xml:space="preserve">Vision par ordinateur, classification d'images</t>
  </si>
  <si>
    <t xml:space="preserve">Vision par ordinateur moderne (voir fiche)</t>
  </si>
  <si>
    <t xml:space="preserve">Non précisées</t>
  </si>
  <si>
    <t xml:space="preserve">Non précisées (la section Données décrit des objectifs)</t>
  </si>
  <si>
    <t xml:space="preserve">Sujet hors scope ENSAE, nous ne faisons pas de détection d'image ni de fine tuning de modèles.</t>
  </si>
  <si>
    <t xml:space="preserve">Société Générale</t>
  </si>
  <si>
    <t xml:space="preserve">L'incertitude des systèmes multi-agents</t>
  </si>
  <si>
    <t xml:space="preserve">Banque</t>
  </si>
  <si>
    <t xml:space="preserve">VIGNARD Alexis</t>
  </si>
  <si>
    <t xml:space="preserve">ML — LLM multi-agents</t>
  </si>
  <si>
    <t xml:space="preserve">Quantifier l'incertitude des systèmes multi-agents fondés sur des LLM (LangGraph, benchmarks d'agents).</t>
  </si>
  <si>
    <t xml:space="preserve">LLM, agents, incertitude, benchmarks</t>
  </si>
  <si>
    <t xml:space="preserve">Agents LangGraph, modèles open source pré-entraînés</t>
  </si>
  <si>
    <t xml:space="preserve">Partielles (environnement d'évaluation à identifier et à déployer)</t>
  </si>
  <si>
    <t xml:space="preserve">LangGraph</t>
  </si>
  <si>
    <t xml:space="preserve">Sujet intéressant mais très déconseillé: le gros du travail nécessite une compréhension et une maîtrise de ce qu'est un LLM (programme de fin de 3A) et utilise assez peu la formation ENSAE 1A-2A. Le sujet semble être un programme de recherche de thèse, pas un stat-app.</t>
  </si>
  <si>
    <t xml:space="preserve">Why Is the Model Uncertain? Explaining and Reducing Predictive Uncertainty in Machine Learning</t>
  </si>
  <si>
    <t xml:space="preserve">AGNIMO Yedidia</t>
  </si>
  <si>
    <t xml:space="preserve">ML — incertitude prédictive</t>
  </si>
  <si>
    <t xml:space="preserve">Expliquer pourquoi un modèle ML est incertain pour une observation donnée (au-delà de l'intervalle de prédiction) ; application aux ventes immobilières d'Ames.</t>
  </si>
  <si>
    <t xml:space="preserve">Quantification d'incertitude, conformal prediction, SHAP, régression quantile</t>
  </si>
  <si>
    <t xml:space="preserve">Régression linéaire, arbres, régression quantile, conformal prediction, SHAP</t>
  </si>
  <si>
    <t xml:space="preserve">Précisées (Ames Housing, 2 930 ventes)</t>
  </si>
  <si>
    <t xml:space="preserve">Pas de lien métier assurance/finance dans la fiche</t>
  </si>
  <si>
    <t xml:space="preserve">RTE</t>
  </si>
  <si>
    <t xml:space="preserve">Analyse longitudinale de la base OPERAT - Comment les consommations énergétiques des établissements tertiaires français ont-elles évolué entre 2020 et 2024, et quels facteurs expliquent l'hétérogénéité des trajectoires ?</t>
  </si>
  <si>
    <t xml:space="preserve">Environnement Energie et Mobilité</t>
  </si>
  <si>
    <t xml:space="preserve">Industrie / énergie</t>
  </si>
  <si>
    <t xml:space="preserve">Crocombette Christophe</t>
  </si>
  <si>
    <t xml:space="preserve">Énergie — consommation tertiaire</t>
  </si>
  <si>
    <t xml:space="preserve">Évolution 2020-2024 de l'intensité énergétique d'environ 250 000 établissements tertiaires (base OPERAT) et facteurs d'hétérogénéité.</t>
  </si>
  <si>
    <t xml:space="preserve">Efficacité énergétique, hétérogénéité, longitudinal</t>
  </si>
  <si>
    <t xml:space="preserve">Régression, clustering, logit</t>
  </si>
  <si>
    <t xml:space="preserve">Précisées (~1 M d'entrées, base OPERAT)</t>
  </si>
  <si>
    <t xml:space="preserve">GazTransport et Technigaz</t>
  </si>
  <si>
    <t xml:space="preserve">Identification des anomalies de trajectoires de méthaniers pour l'obtention de statistiques agrégées sur les temps d'attente permettant de quantifier les gains d'une approche « Just-in-time »</t>
  </si>
  <si>
    <t xml:space="preserve">Industrie / maritime-GNL</t>
  </si>
  <si>
    <t xml:space="preserve">Montiel Antoine</t>
  </si>
  <si>
    <t xml:space="preserve">Transport / logistique</t>
  </si>
  <si>
    <t xml:space="preserve">Détecter les temps d'attente anormaux des méthaniers à partir des trajectoires AIS (~900 navires) et chiffrer les gains d'une approche « just-in-time ».</t>
  </si>
  <si>
    <t xml:space="preserve">AIS, détection d'anomalies, séries temporelles de position</t>
  </si>
  <si>
    <t xml:space="preserve">Indicateurs de trajectoire, probabilités conditionnelles, modèles supervisés</t>
  </si>
  <si>
    <t xml:space="preserve">Précisées (AIS, navires, armateurs, terminaux)</t>
  </si>
  <si>
    <t xml:space="preserve">CREST</t>
  </si>
  <si>
    <t xml:space="preserve">Disaster Risk Reduction and Climate Change Adaptation in European Metropolises</t>
  </si>
  <si>
    <t xml:space="preserve">Rufat Samuel</t>
  </si>
  <si>
    <t xml:space="preserve">Risque de catastrophe / adaptation climatique</t>
  </si>
  <si>
    <t xml:space="preserve">Comportements d'adaptation aux inondations et canicules dans les grandes métropoles européennes (projet ERC FiBeGa) : prédicteurs locaux et simulation spatialement explicite.</t>
  </si>
  <si>
    <t xml:space="preserve">Catastrophes naturelles, adaptation, perception du risque, spatial, ABM</t>
  </si>
  <si>
    <t xml:space="preserve">Analyse de données R/Python, modélisation multi-agents (ABM, apprentissage possible)</t>
  </si>
  <si>
    <t xml:space="preserve">Précisées (enquêtes n=5 000, recensement carroyé, hospitalisations, climat/catastrophes)</t>
  </si>
  <si>
    <t xml:space="preserve">Classé Environnement ; sujet de risque de catastrophe naturelle</t>
  </si>
  <si>
    <t xml:space="preserve">INRAE</t>
  </si>
  <si>
    <t xml:space="preserve">Les arbitrages spatiaux des ménages : coûts du logement, coûts de mobilité et contraintes temporelles</t>
  </si>
  <si>
    <t xml:space="preserve">BOUSCASSE HELENE</t>
  </si>
  <si>
    <t xml:space="preserve">Économie des ménages (logement / mobilité)</t>
  </si>
  <si>
    <t xml:space="preserve">Arbitrage coût du logement / coût et temps de transport : appariement statistique Budget de famille × Emploi du temps, puis coût résidentiel généralisé.</t>
  </si>
  <si>
    <t xml:space="preserve">Mobilité, logement, valeur du temps, appariement statistique</t>
  </si>
  <si>
    <t xml:space="preserve">Régression bêta / logit fractionnaire, modèles à zéros, régression quantile, hot-deck / PMM, imputation multiple</t>
  </si>
  <si>
    <t xml:space="preserve">Précisées (Budget de famille 2011/2017, Emploi du temps)</t>
  </si>
  <si>
    <t xml:space="preserve">Quel prix pour l'eau potable – Demande, hétérogénéité et ciblage des subventions en Inde rurale</t>
  </si>
  <si>
    <t xml:space="preserve">Crepon Bruno</t>
  </si>
  <si>
    <t xml:space="preserve">Économie du développement</t>
  </si>
  <si>
    <t xml:space="preserve">Demande d'eau potable livrée à domicile et ciblage des subventions, à partir d'une expérience randomisée (Inde rurale, ~60 000 ménages).</t>
  </si>
  <si>
    <t xml:space="preserve">Évaluation d'impact, demande, élasticité-prix, WTP/WTA, ciblage</t>
  </si>
  <si>
    <t xml:space="preserve">Effets de traitement, estimation de demande, panel à effets fixes, hétérogénéité</t>
  </si>
  <si>
    <t xml:space="preserve">Précisées (expérience randomisée, Odisha)</t>
  </si>
  <si>
    <t xml:space="preserve">Homo economicus prend-il le volant – Rationalité limitée et coûts de mobilité</t>
  </si>
  <si>
    <t xml:space="preserve">Économie comportementale (mobilité)</t>
  </si>
  <si>
    <t xml:space="preserve">Les ménages connaissent-ils le coût de leur voiture ? Rationalité limitée, postes oubliés, préférence pour le présent.</t>
  </si>
  <si>
    <t xml:space="preserve">Économie comportementale, coût de la voiture, biais de perception</t>
  </si>
  <si>
    <t xml:space="preserve">Statistique descriptive, régression, modèles à variable dépendante qualitative, maximum de vraisemblance (option)</t>
  </si>
  <si>
    <t xml:space="preserve">Enquête</t>
  </si>
  <si>
    <t xml:space="preserve">Précisées (enquête LocarEsid 2023-2024)</t>
  </si>
  <si>
    <t xml:space="preserve">ENPC</t>
  </si>
  <si>
    <t xml:space="preserve">Mesurer l'économie productive dans les quartiers de gare du Grand Paris Express</t>
  </si>
  <si>
    <t xml:space="preserve">Crague Gilles</t>
  </si>
  <si>
    <t xml:space="preserve">Économie urbaine</t>
  </si>
  <si>
    <t xml:space="preserve">Mesurer l'économie productive autour des 68 gares du Grand Paris Express (rayon 800 m) à partir de données ouvertes.</t>
  </si>
  <si>
    <t xml:space="preserve">Économie urbaine, établissements, géolocalisation, observatoire</t>
  </si>
  <si>
    <t xml:space="preserve">Méthodes ouvertes (au choix des élèves)</t>
  </si>
  <si>
    <t xml:space="preserve">Précisées (Sirene géolocalisée et autres open data)</t>
  </si>
  <si>
    <t xml:space="preserve">When a critical material becomes scarce, do firms dig in and innovate around it, or pivot into new activities? And does their existing technological know-how pull them toward the same constrained input?</t>
  </si>
  <si>
    <t xml:space="preserve">Zerbib Olivier David</t>
  </si>
  <si>
    <t xml:space="preserve">Économie industrielle / innovation</t>
  </si>
  <si>
    <t xml:space="preserve">Face à la raréfaction d'un matériau critique, les firmes innovent-elles ou se redéploient-elles ?</t>
  </si>
  <si>
    <t xml:space="preserve">Matériaux critiques, innovation, brevets, chocs d'offre</t>
  </si>
  <si>
    <t xml:space="preserve">Event study, différences-de-différences</t>
  </si>
  <si>
    <t xml:space="preserve">Précisées (dépendance aux matériaux, ruptures, portefeuilles produits/brevets ; mise en forme à prévoir)</t>
  </si>
  <si>
    <t xml:space="preserve">EDF R&amp;D</t>
  </si>
  <si>
    <t xml:space="preserve">Méthodes statistiques pour la prévision de production renouvelable</t>
  </si>
  <si>
    <t xml:space="preserve">Upton Henri</t>
  </si>
  <si>
    <t xml:space="preserve">Énergie — prévision renouvelable</t>
  </si>
  <si>
    <t xml:space="preserve">Prévision de la production éolienne nationale à partir de prévisions météo (données de type compétition Codabench).</t>
  </si>
  <si>
    <t xml:space="preserve">Éolien, prévision, météo</t>
  </si>
  <si>
    <t xml:space="preserve">Deep learning, modèles de fondation, boosting, random forest</t>
  </si>
  <si>
    <t xml:space="preserve">Précisées (page de compétition privée, déjà disponible)</t>
  </si>
  <si>
    <t xml:space="preserve">Fiche très courte</t>
  </si>
  <si>
    <t xml:space="preserve">CANOPY ENERGIES</t>
  </si>
  <si>
    <t xml:space="preserve">Peut-on prédire la croissance du Pongamia à partir du sol – Modélisation statistique et spatiale d'une plantation agroforestière à Madagascar</t>
  </si>
  <si>
    <t xml:space="preserve">Environnement / projet de restauration</t>
  </si>
  <si>
    <t xml:space="preserve">GARCHERY Guillaume</t>
  </si>
  <si>
    <t xml:space="preserve">Environnement — agronomie / spatial</t>
  </si>
  <si>
    <t xml:space="preserve">Prédire survie et croissance du Pongamia à Madagascar (projet Fagnako) à partir du sol, de l'âge, de la topographie ; modélisation longitudinale et spatiale.</t>
  </si>
  <si>
    <t xml:space="preserve">Agroforesterie, statistique spatiale, croissance, survie</t>
  </si>
  <si>
    <t xml:space="preserve">GAM, effets mixtes, modèles de survie, statistique spatiale, RF/boosting, validation croisée spatiale</t>
  </si>
  <si>
    <t xml:space="preserve">Précisées (campagnes d'inventaire du projet)</t>
  </si>
  <si>
    <t xml:space="preserve">Stratégies optionnelles de protection pour investisseurs de long terme</t>
  </si>
  <si>
    <t xml:space="preserve">Finance</t>
  </si>
  <si>
    <t xml:space="preserve">Gestion d'actifs / produits structurés</t>
  </si>
  <si>
    <t xml:space="preserve">Stratégies optionnelles de protection (puts, collars, CPPI/OBPI, volatilité cible) pour investisseurs de long terme ; efficacité selon le régime de marché.</t>
  </si>
  <si>
    <t xml:space="preserve">Protection de portefeuille, options, CPPI, backtesting</t>
  </si>
  <si>
    <t xml:space="preserve">Pricing et simulation stochastique, backtesting de stratégies</t>
  </si>
  <si>
    <t xml:space="preserve">Marché</t>
  </si>
  <si>
    <t xml:space="preserve">Précisées (historiques de prix d'indices actions et obligataires)</t>
  </si>
  <si>
    <t xml:space="preserve">Le sujet est bien adéquat au contenu des enseignements de deuxième année. Il y a des composantes techniques mais aussi opérationnelles.</t>
  </si>
  <si>
    <t xml:space="preserve">Partners Group</t>
  </si>
  <si>
    <t xml:space="preserve">Mandates representation and optimization via cross trades</t>
  </si>
  <si>
    <t xml:space="preserve">Memmi Pierre</t>
  </si>
  <si>
    <t xml:space="preserve">Gestion d'actifs — private markets</t>
  </si>
  <si>
    <t xml:space="preserve">Représentation de portefeuilles d'investisseurs et optimisation par échanges d'actifs (cross trades).</t>
  </si>
  <si>
    <t xml:space="preserve">Portefeuilles, similarité, cross trades</t>
  </si>
  <si>
    <t xml:space="preserve">À confirmer (TBC)</t>
  </si>
  <si>
    <t xml:space="preserve">Partielles (variables listées ; objectifs et modèles à confirmer, cf. commentaire ENSAE)</t>
  </si>
  <si>
    <t xml:space="preserve">Il n'y a pas suffisamment d'informations sur le sujet, notamment sur les objectifs de l'étude, la disponibilité des données et, surtout, les méthodes qui seront utilisées durant le projet.</t>
  </si>
  <si>
    <t xml:space="preserve">Banque de France</t>
  </si>
  <si>
    <t xml:space="preserve">Modélisation du risque de crédit en intégrant les engagements hors bilan</t>
  </si>
  <si>
    <t xml:space="preserve">Institution publique</t>
  </si>
  <si>
    <t xml:space="preserve">BOUFFIN Joshua</t>
  </si>
  <si>
    <t xml:space="preserve">Risque de crédit</t>
  </si>
  <si>
    <t xml:space="preserve">Intégrer les engagements hors bilan (cas des hyperscalers) dans les modèles de risque de crédit (Merton/KMV, Altman Z).</t>
  </si>
  <si>
    <t xml:space="preserve">Risque de crédit, hors bilan, modèles structurels, hyperscalers</t>
  </si>
  <si>
    <t xml:space="preserve">Merton / KMV, Altman Z-score</t>
  </si>
  <si>
    <t xml:space="preserve">Précisées (Bloomberg, marchés européens et américains)</t>
  </si>
  <si>
    <t xml:space="preserve">Je trouve que le sujet est adéquat et la démarche attendue est bien explicitée.</t>
  </si>
  <si>
    <t xml:space="preserve">Symbiotics Asset Management</t>
  </si>
  <si>
    <t xml:space="preserve">Constructing Yield Curves in Illiquid Emerging Market</t>
  </si>
  <si>
    <t xml:space="preserve">Belpaire Michael</t>
  </si>
  <si>
    <t xml:space="preserve">Marchés de taux / dérivés</t>
  </si>
  <si>
    <t xml:space="preserve">Construire des courbes de taux sur marchés émergents illiquides (réplication de Khakimzhanov et al., 2019 : Nelson-Siegel sur données éparses).</t>
  </si>
  <si>
    <t xml:space="preserve">Courbe des taux, illiquidité, Nelson-Siegel</t>
  </si>
  <si>
    <t xml:space="preserve">Nelson-Siegel adapté aux transactions éparses</t>
  </si>
  <si>
    <t xml:space="preserve">Partielles (sources potentielles : banques centrales, bourses, ministères)</t>
  </si>
  <si>
    <t xml:space="preserve">Sujet adéquat</t>
  </si>
  <si>
    <t xml:space="preserve">Simplifying Corporate Default Risk Prediction Using Public Financial Data</t>
  </si>
  <si>
    <t xml:space="preserve">Prédire la défaillance d'entreprises cotées avec peu d'indicateurs publics et interprétables ; comparaison à Altman/Ohlson, hazard et ML.</t>
  </si>
  <si>
    <t xml:space="preserve">Défaut d'entreprise, parcimonie, interprétabilité</t>
  </si>
  <si>
    <t xml:space="preserve">Ratios (Altman, Ohlson), logit / hazard (Shumway, Campbell et al.), benchmark ML</t>
  </si>
  <si>
    <t xml:space="preserve">Précisées (SEC EDGAR)</t>
  </si>
  <si>
    <t xml:space="preserve">Explaining Cheapest-to-Deliver (CTD) Bond Transitions in Government Bond Futures</t>
  </si>
  <si>
    <t xml:space="preserve">Draghia Denisa</t>
  </si>
  <si>
    <t xml:space="preserve">Expliquer et prévoir les changements de Cheapest-to-Deliver dans les futures obligataires souverains.</t>
  </si>
  <si>
    <t xml:space="preserve">Futures obligataires, CTD, courbe des taux</t>
  </si>
  <si>
    <t xml:space="preserve">Régression, random forest, XGBoost, modèle stochastique</t>
  </si>
  <si>
    <t xml:space="preserve">Précisées (données de marché du future)</t>
  </si>
  <si>
    <t xml:space="preserve">Ok même si je ne suis pas expert du sujet.</t>
  </si>
  <si>
    <t xml:space="preserve">Ornikar Assurance</t>
  </si>
  <si>
    <t xml:space="preserve">Mesure de l'assurabilité en assurance Auto</t>
  </si>
  <si>
    <t xml:space="preserve">GORGE Guillaume</t>
  </si>
  <si>
    <t xml:space="preserve">Assurance non-vie (auto) — assurabilité</t>
  </si>
  <si>
    <t xml:space="preserve">Mesurer la « frontière de l'assurabilité » en auto (prix, exclusions, nombre d'assureurs répondant) à partir de demandes de cotation.</t>
  </si>
  <si>
    <t xml:space="preserve">Assurabilité, climat, prix, exclusions</t>
  </si>
  <si>
    <t xml:space="preserve">Autoencodeur, réseaux de neurones, XGBoost, classification</t>
  </si>
  <si>
    <t xml:space="preserve">Précisées (demandes de cotation du marché)</t>
  </si>
  <si>
    <t xml:space="preserve">Classé Finance ; contenu = assurance non-vie</t>
  </si>
  <si>
    <t xml:space="preserve">VIA AM</t>
  </si>
  <si>
    <t xml:space="preserve">Finding Factors Using NLP/LLMs on 10-K/10-Q/8-K Filings</t>
  </si>
  <si>
    <t xml:space="preserve">Molinaro Matéo</t>
  </si>
  <si>
    <t xml:space="preserve">Finance quantitative — NLP</t>
  </si>
  <si>
    <t xml:space="preserve">Extraire des facteurs du texte des filings SEC (10-K/10-Q/8-K) par NLP/LLM et tester leur apport face aux facteurs classiques.</t>
  </si>
  <si>
    <t xml:space="preserve">Facteurs, filings SEC, NLP, asset pricing</t>
  </si>
  <si>
    <t xml:space="preserve">TF-IDF, embeddings, FinBERT / LLM, lasso/ridge/elastic net, LightGBM/XGBoost, régression</t>
  </si>
  <si>
    <t xml:space="preserve">Précisées (SEC EDGAR, Open Source Asset Pricing)</t>
  </si>
  <si>
    <t xml:space="preserve">Gestion d'actif – Conception de portefeuilles optionnels protégés sous contrainte Solvabilité II</t>
  </si>
  <si>
    <t xml:space="preserve">Gestion d'actifs / Solvabilité II (assureurs vie)</t>
  </si>
  <si>
    <t xml:space="preserve">Concevoir des portefeuilles optionnels protégés pour assureurs vie et fonds de retraite sous contrainte de capital Solvabilité II.</t>
  </si>
  <si>
    <t xml:space="preserve">Solvabilité II, options, CPPI/OBPI, assureurs vie</t>
  </si>
  <si>
    <t xml:space="preserve">Simulation de marché (diffusion géométrique, volatilité stochastique, bootstrap), calibration</t>
  </si>
  <si>
    <t xml:space="preserve">Précisées (historiques de prix d'indices)</t>
  </si>
  <si>
    <t xml:space="preserve">Classé Finance ; contrainte réglementaire d'assurance vie centrale</t>
  </si>
  <si>
    <t xml:space="preserve">Statistical Modelling, Stress Testing and Optimal Structuring of a Blended Finance Fund</t>
  </si>
  <si>
    <t xml:space="preserve">Finance de développement — structuration</t>
  </si>
  <si>
    <t xml:space="preserve">Modélisation statistique, stress tests et structuration optimale (tranches junior / senior) d'un fonds de blended finance.</t>
  </si>
  <si>
    <t xml:space="preserve">Blended finance, tranche first-loss, stress test, structuration</t>
  </si>
  <si>
    <t xml:space="preserve">À définir</t>
  </si>
  <si>
    <t xml:space="preserve">À définir (données et modèles « to be defined »)</t>
  </si>
  <si>
    <t xml:space="preserve">Cœur du sujet = structuration en tranches de pertes (first-loss) et stress tests</t>
  </si>
  <si>
    <t xml:space="preserve">Modélisation factorielle et stratégie de couverture d'un portefeuille marchés émergents</t>
  </si>
  <si>
    <t xml:space="preserve">Marchés émergents — devises</t>
  </si>
  <si>
    <t xml:space="preserve">Modèle factoriel (ACP) des devises émergentes et frontières, déterminants, portage, puis stratégie de couverture backtestée.</t>
  </si>
  <si>
    <t xml:space="preserve">Devises émergentes, ACP, portage, couverture</t>
  </si>
  <si>
    <t xml:space="preserve">ACP, économétrie, backtest</t>
  </si>
  <si>
    <t xml:space="preserve">Précisées (données financières fournies par l'entreprise)</t>
  </si>
  <si>
    <t xml:space="preserve">R</t>
  </si>
  <si>
    <t xml:space="preserve">BPCE SA</t>
  </si>
  <si>
    <t xml:space="preserve">Estimation des pertes extrêmes en risque de crédit</t>
  </si>
  <si>
    <t xml:space="preserve">SICAN Silas</t>
  </si>
  <si>
    <t xml:space="preserve">Risque de crédit — dépendance extrême</t>
  </si>
  <si>
    <t xml:space="preserve">VaR 99,9 % d'un portefeuille de crédit multivarié avec copules (Gaussienne, Student, archimédiennes) pour capter la dépendance de queue.</t>
  </si>
  <si>
    <t xml:space="preserve">Copules, dépendance de queue, VaR, capital économique</t>
  </si>
  <si>
    <t xml:space="preserve">Copules, séries temporelles des marges, économétrie</t>
  </si>
  <si>
    <t xml:space="preserve">Partielles (séries multivariées de taux de défaut et pertes attendues ; origine à confirmer)</t>
  </si>
  <si>
    <t xml:space="preserve">Classé Finance ; cœur du sujet = risque extrême / dépendance de queue</t>
  </si>
  <si>
    <t xml:space="preserve">DG Trésor</t>
  </si>
  <si>
    <t xml:space="preserve">Analyse sectorielle des fluctuations du prix du pétrole</t>
  </si>
  <si>
    <t xml:space="preserve">Macroeconomie</t>
  </si>
  <si>
    <t xml:space="preserve">LEE Raphael</t>
  </si>
  <si>
    <t xml:space="preserve">Macroéconomie — pétrole</t>
  </si>
  <si>
    <t xml:space="preserve">Effets sectoriels des chocs de prix du pétrole sur l'activité (guerre en Ukraine, Moyen-Orient).</t>
  </si>
  <si>
    <t xml:space="preserve">Prix du pétrole, chocs, VAR sectoriel</t>
  </si>
  <si>
    <t xml:space="preserve">VAR, caractérisation statistique des séries</t>
  </si>
  <si>
    <t xml:space="preserve">Précisées (OCDE, FMI)</t>
  </si>
  <si>
    <t xml:space="preserve">L'impact économique du vieillissement</t>
  </si>
  <si>
    <t xml:space="preserve">LEE Raphaël</t>
  </si>
  <si>
    <t xml:space="preserve">Macroéconomie — démographie</t>
  </si>
  <si>
    <t xml:space="preserve">Effets du vieillissement sur la consommation et la croissance du PIB.</t>
  </si>
  <si>
    <t xml:space="preserve">Vieillissement, consommation, croissance</t>
  </si>
  <si>
    <t xml:space="preserve">Non précisées (analyse puis estimation des effets sur données macro)</t>
  </si>
  <si>
    <t xml:space="preserve">QuantCube Technology</t>
  </si>
  <si>
    <t xml:space="preserve">Nowcasting hiérarchique de la consommation des ménages en Espagne</t>
  </si>
  <si>
    <t xml:space="preserve">Data / fintech</t>
  </si>
  <si>
    <t xml:space="preserve">de Roux Nicolas de Roux</t>
  </si>
  <si>
    <t xml:space="preserve">Macroéconomie — nowcasting</t>
  </si>
  <si>
    <t xml:space="preserve">Nowcasting hiérarchique de la consommation des ménages espagnols (agrégat trimestriel et postes de dépense) avec cohérence comptable.</t>
  </si>
  <si>
    <t xml:space="preserve">Nowcasting, prévision hiérarchique, réconciliation</t>
  </si>
  <si>
    <t xml:space="preserve">Lasso/Ridge, SARIMA, VAR, facteurs dynamiques à fréquence mixte, forêts aléatoires</t>
  </si>
  <si>
    <t xml:space="preserve">Précisées (INE, Banco de España, Eurostat + données alternatives)</t>
  </si>
  <si>
    <t xml:space="preserve">Nowcasting des Nonfarm Payrolls américains à partir de données alternatives haute fréquence</t>
  </si>
  <si>
    <t xml:space="preserve">MEREAU Julien</t>
  </si>
  <si>
    <t xml:space="preserve">Nowcasting des Nonfarm Payrolls américains avec des données alternatives haute fréquence.</t>
  </si>
  <si>
    <t xml:space="preserve">Nowcasting, emploi, données alternatives, fréquences mixtes</t>
  </si>
  <si>
    <t xml:space="preserve">SARIMAX, VAR, modèles à facteurs dynamiques, modèles espace-état</t>
  </si>
  <si>
    <t xml:space="preserve">Précisées (BLS, jobless claims, JOLTS + données alternatives)</t>
  </si>
  <si>
    <t xml:space="preserve">European University Institute</t>
  </si>
  <si>
    <t xml:space="preserve">The Effects of Geopolitical Risk on Innovation: Evidence from International Patent Data</t>
  </si>
  <si>
    <t xml:space="preserve">Lomo Pedro</t>
  </si>
  <si>
    <t xml:space="preserve">Macroéconomie — innovation</t>
  </si>
  <si>
    <t xml:space="preserve">Effets du risque géopolitique sur l'innovation internationale à partir des brevets OCDE.</t>
  </si>
  <si>
    <t xml:space="preserve">Risque géopolitique, brevets, flux de connaissances</t>
  </si>
  <si>
    <t xml:space="preserve">Économétrie de panel (effets fixes)</t>
  </si>
  <si>
    <t xml:space="preserve">Précisées (brevets et citations OCDE, mesures de risque géopolitique)</t>
  </si>
  <si>
    <t xml:space="preserve">Un modèle de gravité pour expliquer les flux touristiques entrants en France par nationalité</t>
  </si>
  <si>
    <t xml:space="preserve">Pradelle Félix</t>
  </si>
  <si>
    <t xml:space="preserve">Macroéconomie — commerce / tourisme</t>
  </si>
  <si>
    <t xml:space="preserve">Modèle de gravité des flux de voyageurs entrants en France par nationalité (2022-2025).</t>
  </si>
  <si>
    <t xml:space="preserve">Gravité, tourisme, balance des paiements</t>
  </si>
  <si>
    <t xml:space="preserve">MCO à effets fixes, PPML, LASSO (option)</t>
  </si>
  <si>
    <t xml:space="preserve">Précisées (séries mensuelles agrégées et légèrement bruitées)</t>
  </si>
  <si>
    <t xml:space="preserve">Lazard Frères</t>
  </si>
  <si>
    <t xml:space="preserve">Dynamique de la dette française</t>
  </si>
  <si>
    <t xml:space="preserve">Banque d'affaires / conseil</t>
  </si>
  <si>
    <t xml:space="preserve">Quisefit Antonin</t>
  </si>
  <si>
    <t xml:space="preserve">Macro-finance — dette souveraine</t>
  </si>
  <si>
    <t xml:space="preserve">Dette française : déterminants du spread OAT-Bund (macro, risque global, politique) et signaux avant-coureurs de changement de régime (early warning, équilibres multiples).</t>
  </si>
  <si>
    <t xml:space="preserve">Spread souverain, event study, early warning, changement de régime</t>
  </si>
  <si>
    <t xml:space="preserve">Régression sur séries temporelles, event study, Markov-switching, probit/logit</t>
  </si>
  <si>
    <t xml:space="preserve">Précisées (Bloomberg/Refinitiv ou séries publiques BCE, BdF, Eurostat)</t>
  </si>
  <si>
    <t xml:space="preserve">Withings SAS</t>
  </si>
  <si>
    <t xml:space="preserve">Souscription et résiliation d'un abonnement de santé connectée : détecter les signaux d'usage précurseurs et identifier les leviers d'action</t>
  </si>
  <si>
    <t xml:space="preserve">Marketing Quantitatif</t>
  </si>
  <si>
    <t xml:space="preserve">Entreprise (santé connectée)</t>
  </si>
  <si>
    <t xml:space="preserve">CARRIE Hugo</t>
  </si>
  <si>
    <t xml:space="preserve">Marketing / data business — survie et rétention</t>
  </si>
  <si>
    <t xml:space="preserve">Détecter les signaux d'usage qui précèdent la souscription et la résiliation d'un abonnement santé connectée, puis ceux sur lesquels l'entreprise peut agir.</t>
  </si>
  <si>
    <t xml:space="preserve">Rétention, churn, modèle de durée, prédiction vs effet d'une intervention</t>
  </si>
  <si>
    <t xml:space="preserve">Courbes de rétention, modèle de Cox ou à temps discret, prédiction, volet décisionnel (effet d'une intervention)</t>
  </si>
  <si>
    <t xml:space="preserve">Précisées (extraction pseudonymisée, plusieurs centaines de milliers d'utilisateurs, 24-36 mois)</t>
  </si>
  <si>
    <t xml:space="preserve">Sensibilité au choix des lois a priori dans les modèles bayésiens hiérarchiques : effets sur l'estimation et sur la décision</t>
  </si>
  <si>
    <t xml:space="preserve">Statistique bayésienne — marketing mix</t>
  </si>
  <si>
    <t xml:space="preserve">Sensibilité au choix des lois a priori dans les modèles bayésiens de mesure d'efficacité publicitaire, jusqu'à la décision d'allocation budgétaire.</t>
  </si>
  <si>
    <t xml:space="preserve">Marketing mix modeling, priors, power-scaling, regret décisionnel</t>
  </si>
  <si>
    <t xml:space="preserve">Régression bayésienne hiérarchique, NUTS/PyMC, power-scaling (PSIS), optimisation sous contrainte</t>
  </si>
  <si>
    <t xml:space="preserve">Précisées (générateur fourni ; validation sur données réelles optionnelle)</t>
  </si>
  <si>
    <t xml:space="preserve">Python (PyMC), R (priorsense)</t>
  </si>
  <si>
    <t xml:space="preserve">Sia Partners</t>
  </si>
  <si>
    <t xml:space="preserve">Prédiction de la popularité de contenus vidéo marketing pour les marques de luxe par analyse multimodale (computer vision, NLP)</t>
  </si>
  <si>
    <t xml:space="preserve">Conseil</t>
  </si>
  <si>
    <t xml:space="preserve">NADLER Côme</t>
  </si>
  <si>
    <t xml:space="preserve">Marketing / ML multimodal</t>
  </si>
  <si>
    <t xml:space="preserve">Prédire la popularité de vidéos de marques de luxe (TikTok, Reels, Shorts) par analyse visuelle, audio et texte.</t>
  </si>
  <si>
    <t xml:space="preserve">Vidéo, popularité, multimodal, luxe</t>
  </si>
  <si>
    <t xml:space="preserve">CNN / ViT / CLIP, détection d'objets, scoring esthétique (voir fiche)</t>
  </si>
  <si>
    <t xml:space="preserve">Publiques (à collecter)</t>
  </si>
  <si>
    <t xml:space="preserve">Précisées (vidéos de marques et métriques d'engagement)</t>
  </si>
  <si>
    <t xml:space="preserve">Les transformers et les modèles de vision sont hors programme de la 2A et sont notoirement difficiles. Il semble très ambitieux d'en faire quelquechose de bien pour un étudiant en début de 2A qui découvre les fondamentaux du ML. La seconde partie est toutefois tout à fait adaptée. Je ne recommande pas ce sujet et maintient son caractère hors de propos et extrêmement dangereux pour un étudiant de 2A.</t>
  </si>
  <si>
    <t xml:space="preserve">WOAH</t>
  </si>
  <si>
    <t xml:space="preserve">Animal Health as Market and Trade Intelligence</t>
  </si>
  <si>
    <t xml:space="preserve">Microéconomie Appliquée</t>
  </si>
  <si>
    <t xml:space="preserve">Organisation internationale</t>
  </si>
  <si>
    <t xml:space="preserve">Guillot Gilles</t>
  </si>
  <si>
    <t xml:space="preserve">Économie agricole / commerce — chocs sanitaires</t>
  </si>
  <si>
    <t xml:space="preserve">Impact des épizooties (grippe aviaire, peste porcine africaine, fièvre aphteuse…) sur les marchés et le commerce de la viande.</t>
  </si>
  <si>
    <t xml:space="preserve">Épizooties, marchés de matières premières, event study, ruptures</t>
  </si>
  <si>
    <t xml:space="preserve">Event study, ruptures structurelles (Chow, Bai-Perron), modèles à seuils / régimes</t>
  </si>
  <si>
    <t xml:space="preserve">Précisées (FAOSTAT, prix de la viande + données d'événements WOAH)</t>
  </si>
  <si>
    <t xml:space="preserve">CREST UMR 9194</t>
  </si>
  <si>
    <t xml:space="preserve">Résultats des élections municipales à Paris et caractéristiques des quartiers</t>
  </si>
  <si>
    <t xml:space="preserve">Kamionka Thierry</t>
  </si>
  <si>
    <t xml:space="preserve">Économie politique locale</t>
  </si>
  <si>
    <t xml:space="preserve">Résultats des municipales 2026 à Paris et caractéristiques socio-économiques des 80 quartiers.</t>
  </si>
  <si>
    <t xml:space="preserve">Vote, quartiers, géographie</t>
  </si>
  <si>
    <t xml:space="preserve">Modèles de probabilité linéaire, panel, ML</t>
  </si>
  <si>
    <t xml:space="preserve">Précisées (open data Paris, data.gouv)</t>
  </si>
  <si>
    <t xml:space="preserve">Prix des forêts, composition du couvert forestier et caractéristiques locales</t>
  </si>
  <si>
    <t xml:space="preserve">Économie de l'environnement / foncier forestier</t>
  </si>
  <si>
    <t xml:space="preserve">Prix des forêts selon la composition du couvert forestier et les caractéristiques locales.</t>
  </si>
  <si>
    <t xml:space="preserve">Prix hédoniques, forêts, spatial</t>
  </si>
  <si>
    <t xml:space="preserve">Économétrie de panel, ML</t>
  </si>
  <si>
    <t xml:space="preserve">Précisées (DVF+, BD Forêt, BD Alti…)</t>
  </si>
  <si>
    <t xml:space="preserve">CREST et Univ. Paris 1 Panthéon-Sorbonne</t>
  </si>
  <si>
    <t xml:space="preserve">Les discriminations salariales entre hommes et femmes : étude des enquêtes du Céreq</t>
  </si>
  <si>
    <t xml:space="preserve">Gary Bobo Robert</t>
  </si>
  <si>
    <t xml:space="preserve">Économie du travail</t>
  </si>
  <si>
    <t xml:space="preserve">Écarts de salaire hommes/femmes dans l'enquête Génération du Céreq, avec maternité et origine.</t>
  </si>
  <si>
    <t xml:space="preserve">Discrimination salariale, genre, origine, insertion</t>
  </si>
  <si>
    <t xml:space="preserve">Régression linéaire, panel, variables instrumentales</t>
  </si>
  <si>
    <t xml:space="preserve">Précisées (Génération 2017 à 3 ans, Céreq)</t>
  </si>
  <si>
    <t xml:space="preserve">Univ. Paris 1 Panthéon-Sorbonne (CES)</t>
  </si>
  <si>
    <t xml:space="preserve">L'efficacité économique des hôpitaux publics et privés : étude économétrique sur données françaises</t>
  </si>
  <si>
    <t xml:space="preserve">Économie de la santé</t>
  </si>
  <si>
    <t xml:space="preserve">Efficacité économique des hôpitaux publics et privés : fonction de demande contingente de personnel, rôle de l'ambulatoire.</t>
  </si>
  <si>
    <t xml:space="preserve">Hôpitaux, productivité, ambulatoire</t>
  </si>
  <si>
    <t xml:space="preserve">Régression avec ou sans variables instrumentales, observations répétées</t>
  </si>
  <si>
    <t xml:space="preserve">Précisées (bases publiques de santé)</t>
  </si>
  <si>
    <t xml:space="preserve">Cartographier la diversité dans la science, l'innovation et l'entrepreneuriat en France</t>
  </si>
  <si>
    <t xml:space="preserve">Signorelli Sara</t>
  </si>
  <si>
    <t xml:space="preserve">Économie de l'innovation / diversité</t>
  </si>
  <si>
    <t xml:space="preserve">Cartographier la diversité (genre, origine migratoire) parmi les inventeurs, chercheurs et entrepreneurs en France par classification de noms et prénoms.</t>
  </si>
  <si>
    <t xml:space="preserve">Diversité, innovation, brevets, classification de noms</t>
  </si>
  <si>
    <t xml:space="preserve">Classification supervisée, ML, IA générative</t>
  </si>
  <si>
    <t xml:space="preserve">Précisées (OpenAlex, INPI, registre du commerce)</t>
  </si>
  <si>
    <t xml:space="preserve">RITM (Univ. Paris-Saclay)</t>
  </si>
  <si>
    <t xml:space="preserve">Exposition au bruit et réussite scolaire</t>
  </si>
  <si>
    <t xml:space="preserve">Garrouste Manon</t>
  </si>
  <si>
    <t xml:space="preserve">Économie de l'éducation / environnement</t>
  </si>
  <si>
    <t xml:space="preserve">Effet de l'exposition au bruit des transports sur la réussite scolaire (brevet des collèges).</t>
  </si>
  <si>
    <t xml:space="preserve">Bruit, éducation, externalités, spatial</t>
  </si>
  <si>
    <t xml:space="preserve">Économétrie exploitant variations temporelles du trafic et variations spatiales du bruit</t>
  </si>
  <si>
    <t xml:space="preserve">Précisées (cartes de bruit, établissements, résultats, IPS, recensement)</t>
  </si>
  <si>
    <t xml:space="preserve">Drees</t>
  </si>
  <si>
    <t xml:space="preserve">Coefficients géographiques frontaliers</t>
  </si>
  <si>
    <t xml:space="preserve">Ourliac Benoit</t>
  </si>
  <si>
    <t xml:space="preserve">Économie de la santé / territoriale</t>
  </si>
  <si>
    <t xml:space="preserve">Coefficients géographiques frontaliers (T2A) : les hôpitaux frontaliers versent-ils des salaires plus élevés ?</t>
  </si>
  <si>
    <t xml:space="preserve">Salaires hospitaliers, zones frontalières, tarification</t>
  </si>
  <si>
    <t xml:space="preserve">Décomposition d'Oaxaca-Blinder, extensions distributionnelles</t>
  </si>
  <si>
    <t xml:space="preserve">Précisées (BTS Insee, SAE Drees, données géographiques)</t>
  </si>
  <si>
    <t xml:space="preserve">Unpacking the drivers of turnover in industrial firms</t>
  </si>
  <si>
    <t xml:space="preserve">Grosset-Touba Florian</t>
  </si>
  <si>
    <t xml:space="preserve">Moteurs du turnover dans des usines (Éthiopie, Côte d'Ivoire) à partir de dossiers RH détaillés et d'enquêtes.</t>
  </si>
  <si>
    <t xml:space="preserve">Turnover, salaires, usines, pays en développement</t>
  </si>
  <si>
    <t xml:space="preserve">Lasso, random forest, réseaux de neurones, outils de diagnostic, modèles AKM</t>
  </si>
  <si>
    <t xml:space="preserve">Précisées (dossiers RH confidentiels + enquêtes appariées)</t>
  </si>
  <si>
    <t xml:space="preserve">Newsletter AI</t>
  </si>
  <si>
    <t xml:space="preserve">NLP</t>
  </si>
  <si>
    <t xml:space="preserve">ML — LLM (veille)</t>
  </si>
  <si>
    <t xml:space="preserve">Pipeline de newsletter hebdomadaire sur l'IA (veille multi-sources, LLM, prompt engineering).</t>
  </si>
  <si>
    <t xml:space="preserve">Veille, LLM, automatisation éditoriale</t>
  </si>
  <si>
    <t xml:space="preserve">LLM, prompt engineering</t>
  </si>
  <si>
    <t xml:space="preserve">Publiques (sources web)</t>
  </si>
  <si>
    <t xml:space="preserve">Partielles (sources de veille citées, pas de jeu de données)</t>
  </si>
  <si>
    <t xml:space="preserve">LLM fine tuning, complètement hors scope de l'ENSAE surtout en 2A (serait déjà très limite en 3A comme projet du cours de NLP)</t>
  </si>
  <si>
    <t xml:space="preserve">Embeddings for Epidemic Intelligence</t>
  </si>
  <si>
    <t xml:space="preserve">ML — NLP / veille épidémique</t>
  </si>
  <si>
    <t xml:space="preserve">Évaluer des modèles d'embeddings pour détecter les signaux faibles de maladies animales dans la presse.</t>
  </si>
  <si>
    <t xml:space="preserve">Veille épidémique, embeddings, multilinguisme</t>
  </si>
  <si>
    <t xml:space="preserve">Revue et évaluation de modèles d'embeddings (voir fiche)</t>
  </si>
  <si>
    <t xml:space="preserve">Précisées (WAHIS, PADI-web, presse)</t>
  </si>
  <si>
    <t xml:space="preserve">Inria</t>
  </si>
  <si>
    <t xml:space="preserve">Quantifying and Mitigating Cultural Bias in Language Models</t>
  </si>
  <si>
    <t xml:space="preserve">Le Bellier Gabrielle</t>
  </si>
  <si>
    <t xml:space="preserve">ML — biais culturels des LLM</t>
  </si>
  <si>
    <t xml:space="preserve">Mesurer les disparités culturelles de LLM (CulturalBench, 45 pays/régions) et évaluer des méthodes de mitigation.</t>
  </si>
  <si>
    <t xml:space="preserve">Biais, LLM, mesure statistique par groupe</t>
  </si>
  <si>
    <t xml:space="preserve">Modèles open-weight (Llama-3.2, Qwen2.5), inférence statistique par groupe</t>
  </si>
  <si>
    <t xml:space="preserve">Précisées (CulturalBench)</t>
  </si>
  <si>
    <t xml:space="preserve">Efficient Evaluation of LLM-based Agents under a Limited Budget</t>
  </si>
  <si>
    <t xml:space="preserve">ML — évaluation d'agents LLM</t>
  </si>
  <si>
    <t xml:space="preserve">Allocation efficace du budget de rollouts pour évaluer des agents LLM (biais, variance, calibration des intervalles).</t>
  </si>
  <si>
    <t xml:space="preserve">Évaluation d'agents, plans d'échantillonnage, SWE-bench</t>
  </si>
  <si>
    <t xml:space="preserve">Estimation, allocation adaptative, calibration d'intervalles de confiance</t>
  </si>
  <si>
    <t xml:space="preserve">Précisées (ASSERT-KTH : 500 tâches SWE-bench × 10 exécutions)</t>
  </si>
  <si>
    <t xml:space="preserve">Thales</t>
  </si>
  <si>
    <t xml:space="preserve">Algorithmes de deep learning pour le débruitage audio</t>
  </si>
  <si>
    <t xml:space="preserve">Industrie / défense</t>
  </si>
  <si>
    <t xml:space="preserve">Lampe Rodolphe</t>
  </si>
  <si>
    <t xml:space="preserve">ML — audio</t>
  </si>
  <si>
    <t xml:space="preserve">Débruitage audio par deep learning, du CNN 1D aux Transformers.</t>
  </si>
  <si>
    <t xml:space="preserve">Audio, débruitage, deep learning</t>
  </si>
  <si>
    <t xml:space="preserve">CNN 1D, Transformers</t>
  </si>
  <si>
    <t xml:space="preserve">Précisées (VoxCeleb, LibriSpeech, DNS)</t>
  </si>
  <si>
    <t xml:space="preserve">Python, PyTorch</t>
  </si>
  <si>
    <t xml:space="preserve">Totalement hors champ, les algorithmes de débruitage sont hors champ ENSAE et de niveau post M2.</t>
  </si>
  <si>
    <t xml:space="preserve">Devoteam SAS</t>
  </si>
  <si>
    <t xml:space="preserve">Evaluating Multilingual Reasoning in Language Models</t>
  </si>
  <si>
    <t xml:space="preserve">riabi arij</t>
  </si>
  <si>
    <t xml:space="preserve">ML — LLM multilingue</t>
  </si>
  <si>
    <t xml:space="preserve">Robustesse statistique du raisonnement des LLM selon la langue (MMLU-ProX, 29 langues).</t>
  </si>
  <si>
    <t xml:space="preserve">LLM, multilinguisme, évaluation</t>
  </si>
  <si>
    <t xml:space="preserve">Petits modèles open-weight (Qwen, Llama), comparaisons appariées</t>
  </si>
  <si>
    <t xml:space="preserve">Précisées (MMLU-ProX)</t>
  </si>
  <si>
    <t xml:space="preserve">LLM hors champ ENSAE en 2A.</t>
  </si>
  <si>
    <t xml:space="preserve">Une hallucination a-t-elle une forme – Géométrie interne des représentations et détection des erreurs des modèles de langage</t>
  </si>
  <si>
    <t xml:space="preserve">NOËL Valentin</t>
  </si>
  <si>
    <t xml:space="preserve">ML — LLM (géométrie des représentations)</t>
  </si>
  <si>
    <t xml:space="preserve">Détecter les hallucinations par la géométrie interne des représentations de LLM (dimension intrinsèque, spectres).</t>
  </si>
  <si>
    <t xml:space="preserve">Hallucinations, géométrie, matrices aléatoires</t>
  </si>
  <si>
    <t xml:space="preserve">Dimension intrinsèque (Levina-Bickel), SVD, loi de Marchenko-Pastur, analyse spectrale</t>
  </si>
  <si>
    <t xml:space="preserve">Précisées (jeux QA publics, calcul sur ordinateur portable)</t>
  </si>
  <si>
    <t xml:space="preserve">Sujet merveilleux mais d'une difficulté théorique énorme qui me semble être plutôt d'un niveau thèse. La géométrie est hors champ ENSAE, les LLMs sont vus en fin de 3A, quant aux graphes d'attention... il me semble que ça s'adresse plus à un diplômé du MVA</t>
  </si>
  <si>
    <t xml:space="preserve">Sans entreprise (application)</t>
  </si>
  <si>
    <t xml:space="preserve">Rapprochement automatique d'adresses d'entreprises avec la Base Adresse Nationale</t>
  </si>
  <si>
    <t xml:space="preserve">Non applicable (sujet hors entreprise)</t>
  </si>
  <si>
    <t xml:space="preserve">Iakimova Iuliia</t>
  </si>
  <si>
    <t xml:space="preserve">NLP / record linkage</t>
  </si>
  <si>
    <t xml:space="preserve">Rapprocher automatiquement des adresses Sirene (variantes d'écriture) avec la Base Adresse Nationale ; construire un score de correspondance.</t>
  </si>
  <si>
    <t xml:space="preserve">Record linkage, appariement d'adresses, similarité de chaînes</t>
  </si>
  <si>
    <t xml:space="preserve">Distances de chaînes, phonétique, record linkage probabiliste, ML supervisé</t>
  </si>
  <si>
    <t xml:space="preserve">Précisées (5 000 établissements parisiens, 152 628 adresses BAN)</t>
  </si>
  <si>
    <t xml:space="preserve">Le sujet est convaincant et sans doute "le moins impossible" de la classe des sujets NLP mais il consiste en l'utilisation de modèle de niveau fin de 3A. Il me semble "borderline"</t>
  </si>
  <si>
    <t xml:space="preserve">Euro-Information Développements</t>
  </si>
  <si>
    <t xml:space="preserve">Dictée Vocale de code LaTex</t>
  </si>
  <si>
    <t xml:space="preserve">IT bancaire (à vérifier)</t>
  </si>
  <si>
    <t xml:space="preserve">Klein Antoine</t>
  </si>
  <si>
    <t xml:space="preserve">ML — parole et LLM</t>
  </si>
  <si>
    <t xml:space="preserve">Pipeline de dictée vocale d'équations mathématiques vers du code LaTeX (STT + LLM).</t>
  </si>
  <si>
    <t xml:space="preserve">Speech-to-text, LaTeX, Whisper / Voxtral / QwenASR</t>
  </si>
  <si>
    <t xml:space="preserve">STT open source (Whisper, Voxtral, QwenASR) + LLM</t>
  </si>
  <si>
    <t xml:space="preserve">Partielles (livre audio annoté, tables de conversion ; audios d'équations à produire)</t>
  </si>
  <si>
    <t xml:space="preserve">ENGIE</t>
  </si>
  <si>
    <t xml:space="preserve">Generate plausible gas consumption scenarios for the upcoming year under unknown weather conditions.</t>
  </si>
  <si>
    <t xml:space="preserve">Predictions</t>
  </si>
  <si>
    <t xml:space="preserve">Kouvabina Irina</t>
  </si>
  <si>
    <t xml:space="preserve">Énergie — scénarios météo / valeurs extrêmes</t>
  </si>
  <si>
    <t xml:space="preserve">Scénarios de consommation de gaz sur un an sous météo inconnue : simulateur de température + modèle consommation-température, avec rééchantillonnage des résidus (calibrés sur des températures proches de la normale).</t>
  </si>
  <si>
    <t xml:space="preserve">Scénarios, météo extrême, résidus, consommation de gaz</t>
  </si>
  <si>
    <t xml:space="preserve">GAM, GEV</t>
  </si>
  <si>
    <t xml:space="preserve">Partielles (gaz, températures, simulations)</t>
  </si>
  <si>
    <t xml:space="preserve">Classé Predictions ; contient une problématique de génération de scénarios et de valeurs extrêmes (GEV)</t>
  </si>
  <si>
    <t xml:space="preserve">Belgium's Hourly Gas Consumption Model: Accuracy and Relevance</t>
  </si>
  <si>
    <t xml:space="preserve">Énergie — prévision de consommation</t>
  </si>
  <si>
    <t xml:space="preserve">Évaluer la précision du modèle horaire de consommation de gaz (Belgique) d'ENGIE, puis le recalibrer ou le remplacer.</t>
  </si>
  <si>
    <t xml:space="preserve">Consommation de gaz, prévision horaire, météo</t>
  </si>
  <si>
    <t xml:space="preserve">GAM + ajustement des résidus (existant), modèles à arbres</t>
  </si>
  <si>
    <t xml:space="preserve">Précisées (consommations horaires, températures, vent, calendrier)</t>
  </si>
  <si>
    <t xml:space="preserve">Prévision de la demande pour un éditeur de presse</t>
  </si>
  <si>
    <t xml:space="preserve">ULIANOVICI ANA</t>
  </si>
  <si>
    <t xml:space="preserve">Prévision de demande</t>
  </si>
  <si>
    <t xml:space="preserve">Prévision de la demande et optimisation des fournis pour un éditeur de presse (vente au numéro).</t>
  </si>
  <si>
    <t xml:space="preserve">Demande, fournis, points de vente</t>
  </si>
  <si>
    <t xml:space="preserve">LightGBM</t>
  </si>
  <si>
    <t xml:space="preserve">Précisées (points de vente, titres, ventes historiques)</t>
  </si>
  <si>
    <t xml:space="preserve">LCL</t>
  </si>
  <si>
    <t xml:space="preserve">Détection de la Fraude Documentaire</t>
  </si>
  <si>
    <t xml:space="preserve">Bouyahia Mohamed Aymen</t>
  </si>
  <si>
    <t xml:space="preserve">ML — vision / fraude documentaire</t>
  </si>
  <si>
    <t xml:space="preserve">Détecter la falsification de documents clients (images / scans) par vision par ordinateur et VLM.</t>
  </si>
  <si>
    <t xml:space="preserve">Fraude, vision par ordinateur, VLM</t>
  </si>
  <si>
    <t xml:space="preserve">VLM, CNN, statistiques de pixels</t>
  </si>
  <si>
    <t xml:space="preserve">Partielles (documents authentiques et, si possible, falsifiés)</t>
  </si>
  <si>
    <t xml:space="preserve">Traitement d'image / détection de fraude totalement hors champ ENSAE, surtout en 2A.</t>
  </si>
  <si>
    <t xml:space="preserve">Joint Uncertainty for Multivariate Electricity-Demand Forecasts</t>
  </si>
  <si>
    <t xml:space="preserve">Prévision de demande d'électricité — incertitude</t>
  </si>
  <si>
    <t xml:space="preserve">Prévisions probabilistes jointes de la demande d'électricité multivariée (éCO2mix de RTE).</t>
  </si>
  <si>
    <t xml:space="preserve">Prévision probabiliste, dépendance, électricité</t>
  </si>
  <si>
    <t xml:space="preserve">« Modèles de prévision standards » (voir fiche)</t>
  </si>
  <si>
    <t xml:space="preserve">Précisées (RTE éCO2mix, depuis 2012)</t>
  </si>
  <si>
    <t xml:space="preserve">Crédit Agricole SA</t>
  </si>
  <si>
    <t xml:space="preserve">Traitement de données dans le cadre de modèle de prévisions de taux et d'encours de crédit et dépôts bancaires (ALM)</t>
  </si>
  <si>
    <t xml:space="preserve">VIDAL Fanny</t>
  </si>
  <si>
    <t xml:space="preserve">Banque — ALM / prévision de taux et d'encours</t>
  </si>
  <si>
    <t xml:space="preserve">Traitement de données pour les modèles de prévision de taux et d'encours de crédits et dépôts (marge nette d'intérêt, ALM).</t>
  </si>
  <si>
    <t xml:space="preserve">ALM, MNI, désagrégation temporelle</t>
  </si>
  <si>
    <t xml:space="preserve">Régression quantile, désagrégation temporelle</t>
  </si>
  <si>
    <t xml:space="preserve">Précisées (Webstat Banque de France, Insee, Bloomberg)</t>
  </si>
  <si>
    <t xml:space="preserve">Sujet complet et en adéquation avec les attentes du stat app.</t>
  </si>
  <si>
    <t xml:space="preserve">Dstudio</t>
  </si>
  <si>
    <t xml:space="preserve">Multimodal Buying Intent Prediction with Survival Analysis, Graph Learning &amp; Learning-to-Rank</t>
  </si>
  <si>
    <t xml:space="preserve">Conseil / data</t>
  </si>
  <si>
    <t xml:space="preserve">Saada david</t>
  </si>
  <si>
    <t xml:space="preserve">Marketing / data business — survie</t>
  </si>
  <si>
    <t xml:space="preserve">Moteur de ranking d'entreprises à forte probabilité d'achat à court terme (survie, graphes, learning-to-rank, signaux faibles).</t>
  </si>
  <si>
    <t xml:space="preserve">Intention d'achat, analyse de survie, PU learning, competing risks</t>
  </si>
  <si>
    <t xml:space="preserve">Cox, survie paramétrique, RSF, DeepSurv, competing risks, CUSUM, learning-to-rank, graphes</t>
  </si>
  <si>
    <t xml:space="preserve">Partielles (panel d'entreprises à construire à partir de sources variées)</t>
  </si>
  <si>
    <t xml:space="preserve">eleven strategy</t>
  </si>
  <si>
    <t xml:space="preserve">Prédiction de la demande et du prix, et allocation optimale dans l'industrie de l'hospitality</t>
  </si>
  <si>
    <t xml:space="preserve">Bazaz Jazayeri Samuel</t>
  </si>
  <si>
    <t xml:space="preserve">Prévision de demande / optimisation</t>
  </si>
  <si>
    <t xml:space="preserve">Prédiction de la demande et du prix, puis allocation optimale de capacité dans l'hospitality.</t>
  </si>
  <si>
    <t xml:space="preserve">Demande, prix, optimisation, modèles pré-entraînés</t>
  </si>
  <si>
    <t xml:space="preserve">SARIMAX, LightGBM, Chronos 2.0, Moirai 2.0, optimisation par points intérieurs</t>
  </si>
  <si>
    <t xml:space="preserve">Précisées (séries anonymisées ; données clients synthétiques)</t>
  </si>
  <si>
    <t xml:space="preserve">How can we measure health and physical dysregulation? A multiverse analysis of The Irish Longitudinal Study on Aging</t>
  </si>
  <si>
    <t xml:space="preserve">Santé</t>
  </si>
  <si>
    <t xml:space="preserve">Präg Patrick</t>
  </si>
  <si>
    <t xml:space="preserve">Santé / sociologie — biomarqueurs</t>
  </si>
  <si>
    <t xml:space="preserve">Mesurer la dysrégulation physique (allostatic load) avec TILDA par analyse multivers (specification curve).</t>
  </si>
  <si>
    <t xml:space="preserve">Allostatic load, biomarqueurs, robustesse</t>
  </si>
  <si>
    <t xml:space="preserve">Specification curve analysis (multiverse)</t>
  </si>
  <si>
    <t xml:space="preserve">Précisées (TILDA)</t>
  </si>
  <si>
    <t xml:space="preserve">CHU de Lille</t>
  </si>
  <si>
    <t xml:space="preserve">Mobiliser la datascience pour identifier l'heure d'induction anesthésique à partir de signaux mesurés lors des interventions chirurgicales</t>
  </si>
  <si>
    <t xml:space="preserve">Santé (hôpital)</t>
  </si>
  <si>
    <t xml:space="preserve">Geay Charlotte</t>
  </si>
  <si>
    <t xml:space="preserve">Santé — signaux cliniques</t>
  </si>
  <si>
    <t xml:space="preserve">Identifier l'heure d'induction anesthésique à partir des signaux mesurés pendant l'intervention (entrepôt de données du CHU).</t>
  </si>
  <si>
    <t xml:space="preserve">Anesthésie, séries temporelles cliniques</t>
  </si>
  <si>
    <t xml:space="preserve">Modèles supervisés (régression, RF, réseaux de neurones)</t>
  </si>
  <si>
    <t xml:space="preserve">Précisées (entrepôt de données de santé du CHU de Lille)</t>
  </si>
  <si>
    <t xml:space="preserve">Do Subjective Indicators of Wellbeing Predict an Objective Measure of Health? Are Any Deviations Dependent on Sociodemographic Characteristics?</t>
  </si>
  <si>
    <t xml:space="preserve">Santé / sociologie — bien-être</t>
  </si>
  <si>
    <t xml:space="preserve">Bien-être subjectif vs mesure objective de santé selon les caractéristiques sociodémographiques (UKHLS, N ≈ 13 000).</t>
  </si>
  <si>
    <t xml:space="preserve">Bien-être, santé objective, écarts</t>
  </si>
  <si>
    <t xml:space="preserve">Régression, analyse factorielle / clusters</t>
  </si>
  <si>
    <t xml:space="preserve">Précisées (UKHLS)</t>
  </si>
  <si>
    <t xml:space="preserve">SAS, Stata, R</t>
  </si>
  <si>
    <t xml:space="preserve">Modélisation prédictive d'évènement cardiovasculaire ou de trajectoire</t>
  </si>
  <si>
    <t xml:space="preserve">Katsahian Sandrine</t>
  </si>
  <si>
    <t xml:space="preserve">Santé — prédiction</t>
  </si>
  <si>
    <t xml:space="preserve">Prédiction d'événements cardiovasculaires (MACE) et clustering de trajectoires (UK Biobank), dans un projet de jumeaux numériques.</t>
  </si>
  <si>
    <t xml:space="preserve">Cardiovasculaire, trajectoires, MACE</t>
  </si>
  <si>
    <t xml:space="preserve">Clustering de trajectoires (non supervisé), prédiction supervisée</t>
  </si>
  <si>
    <t xml:space="preserve">Précisées (UK Biobank : variables cardiovasculaires structurées)</t>
  </si>
  <si>
    <t xml:space="preserve">Clustering de trajectoires de patients atteints d'asthme sévère</t>
  </si>
  <si>
    <t xml:space="preserve">Santé — survie / trajectoires</t>
  </si>
  <si>
    <t xml:space="preserve">Clustering de trajectoires de patients asthmatiques sévères (SNDS), avec RecForest (forêts de survie pour événements récurrents).</t>
  </si>
  <si>
    <t xml:space="preserve">Asthme, événements récurrents, trajectoires, SNDS</t>
  </si>
  <si>
    <t xml:space="preserve">RecForest / Random Survival Forests, clustering</t>
  </si>
  <si>
    <t xml:space="preserve">Précisées (SNDS : Assurance maladie + PMSI ; modalités d'accès non détaillées)</t>
  </si>
  <si>
    <t xml:space="preserve">Ined</t>
  </si>
  <si>
    <t xml:space="preserve">Discriminations ethnoraciales et trajectoires d'entrée dans la vie active des descendants d'immigrés</t>
  </si>
  <si>
    <t xml:space="preserve">Sociologie Quantitative</t>
  </si>
  <si>
    <t xml:space="preserve">Institution publique / recherche</t>
  </si>
  <si>
    <t xml:space="preserve">Nguyen Anna</t>
  </si>
  <si>
    <t xml:space="preserve">Sociologie / démographie</t>
  </si>
  <si>
    <t xml:space="preserve">Discriminations ethnoraciales et trajectoires d'entrée dans la vie active des descendants d'immigrés (TeO2).</t>
  </si>
  <si>
    <t xml:space="preserve">Discriminations, trajectoires, séquences</t>
  </si>
  <si>
    <t xml:space="preserve">Optimal matching, typologie de trajectoires</t>
  </si>
  <si>
    <t xml:space="preserve">Précisées (Trajectoires et Origines 2, Ined-Insee)</t>
  </si>
  <si>
    <t xml:space="preserve">R (TraMineR)</t>
  </si>
  <si>
    <t xml:space="preserve">Evolution des thématiques de recherche en démographie : le cas des publications de l'Ined</t>
  </si>
  <si>
    <t xml:space="preserve">Muller Arno</t>
  </si>
  <si>
    <t xml:space="preserve">Sociologie / bibliométrie</t>
  </si>
  <si>
    <t xml:space="preserve">Évolution des thématiques de recherche de l'Ined depuis les années 1970, à partir des publications.</t>
  </si>
  <si>
    <t xml:space="preserve">Démographie, bibliométrie, analyse textuelle</t>
  </si>
  <si>
    <t xml:space="preserve">Analyse textuelle, régressions logistiques / multinomiales</t>
  </si>
  <si>
    <t xml:space="preserve">Précisées (métadonnées Archined)</t>
  </si>
  <si>
    <t xml:space="preserve">Cultural Consumption and Intersectionality. Analysis of the Survey of Public Participation in the Arts</t>
  </si>
  <si>
    <t xml:space="preserve">Sociologie quantitative</t>
  </si>
  <si>
    <t xml:space="preserve">Consommation culturelle et intersectionnalité (SPPA 2022, ~13 000 adultes américains).</t>
  </si>
  <si>
    <t xml:space="preserve">Consommation culturelle, inégalités, intersectionnalité</t>
  </si>
  <si>
    <t xml:space="preserve">MAIHDA (multiniveau intersectionnel)</t>
  </si>
  <si>
    <t xml:space="preserve">Précisées (SPPA 2022)</t>
  </si>
  <si>
    <t xml:space="preserve">Gender Identity Inequalities in Health. Analysis of the European Social Survey</t>
  </si>
  <si>
    <t xml:space="preserve">Sociologie quantitative / santé</t>
  </si>
  <si>
    <t xml:space="preserve">Inégalités de santé selon l'identité de genre (ESS).</t>
  </si>
  <si>
    <t xml:space="preserve">Genre, santé, comparaison entre pays</t>
  </si>
  <si>
    <t xml:space="preserve">Modèles multiniveaux à effets aléatoires</t>
  </si>
  <si>
    <t xml:space="preserve">Précisées (ESS, publique)</t>
  </si>
  <si>
    <t xml:space="preserve">Stata, R</t>
  </si>
  <si>
    <t xml:space="preserve">Conspiracy Theory Beliefs in Europe: Analysis of the European Social Survey</t>
  </si>
  <si>
    <t xml:space="preserve">Croyances conspirationnistes en Europe (ESS 2020-22, 32 pays).</t>
  </si>
  <si>
    <t xml:space="preserve">Croyances, multiniveau, comparaison entre pays</t>
  </si>
  <si>
    <t xml:space="preserve">Social status and health. Analysis of longitudinal survey data</t>
  </si>
  <si>
    <t xml:space="preserve">Statut social perçu et santé (données longitudinales ELSA) ; effets asymétriques des hausses et baisses de statut.</t>
  </si>
  <si>
    <t xml:space="preserve">Statut subjectif, santé, longitudinal</t>
  </si>
  <si>
    <t xml:space="preserve">Effets fixes / aléatoires, décomposition à effets fixes asymétriques (Allison 2019)</t>
  </si>
  <si>
    <t xml:space="preserve">Précisées (ELSA)</t>
  </si>
  <si>
    <t xml:space="preserve">Has there been a polarization of working hours? Analysis of the European Union Labor Force Survey</t>
  </si>
  <si>
    <t xml:space="preserve">Sociologie quantitative / travail</t>
  </si>
  <si>
    <t xml:space="preserve">Polarisation des durées de travail en Europe (EU-LFS) : durées courtes (sous-emploi) et durées longues (surcharge).</t>
  </si>
  <si>
    <t xml:space="preserve">Heures de travail, polarisation, inégalités</t>
  </si>
  <si>
    <t xml:space="preserve">Régression quantile inconditionnelle, décomposition d'Oaxaca-Blinder</t>
  </si>
  <si>
    <t xml:space="preserve">Précisées (EU-LFS ; modalités d'accès à confirmer)</t>
  </si>
  <si>
    <t xml:space="preserve">Sharing or Separating? Trends in Income Pooling among Couples, 1988–2022. Analysis of the ISSP Family and Changing Gender Roles Module</t>
  </si>
  <si>
    <t xml:space="preserve">Mise en commun des revenus dans les couples, 1988-2022 (ISSP).</t>
  </si>
  <si>
    <t xml:space="preserve">Revenus du couple, individualisation, tendances</t>
  </si>
  <si>
    <t xml:space="preserve">Modèles multiniveaux</t>
  </si>
  <si>
    <t xml:space="preserve">Précisées (ISSP)</t>
  </si>
  <si>
    <t xml:space="preserve">His Job, Her Job? Trends in the Division of Household Labor among Couples, 1988–2022. Analysis of the ISSP Family and Changing Gender Roles Module</t>
  </si>
  <si>
    <t xml:space="preserve">Division du travail domestique dans les couples, 1988-2022 (ISSP, 5 vagues).</t>
  </si>
  <si>
    <t xml:space="preserve">Travail domestique, tendances, comparaisons internationales</t>
  </si>
  <si>
    <t xml:space="preserve">Modèles multiniveaux (individus × pays-vagues × pays)</t>
  </si>
  <si>
    <t xml:space="preserve">Working Around the Clock? Trends in Evening, Night, and Weekend Work in Europe. Analysis of the European Union Labor Force Survey</t>
  </si>
  <si>
    <t xml:space="preserve">Travail en soirée, de nuit et le week-end en Europe (EU-LFS).</t>
  </si>
  <si>
    <t xml:space="preserve">Horaires atypiques, comparaison entre pays, tendances</t>
  </si>
  <si>
    <t xml:space="preserve">Insee</t>
  </si>
  <si>
    <t xml:space="preserve">Les enfants assistés de la Nièvre pendant la guerre 1914 1918</t>
  </si>
  <si>
    <t xml:space="preserve">Loonis vincent</t>
  </si>
  <si>
    <t xml:space="preserve">Démographie historique</t>
  </si>
  <si>
    <t xml:space="preserve">Enfants assistés de la Nièvre pendant la guerre de 1914-1918 : conscrits nivernais et mortalité (110 000 conscrits).</t>
  </si>
  <si>
    <t xml:space="preserve">Démographie historique, assistance publique, mortalité</t>
  </si>
  <si>
    <t xml:space="preserve">Statistique descriptive, statistique spatiale, économétrie</t>
  </si>
  <si>
    <t xml:space="preserve">Précisées (registres matricules, 110 000 conscrits)</t>
  </si>
  <si>
    <t xml:space="preserve">Scoring des 83 sujets StatApp : version provisoire (à relire)</t>
  </si>
  <si>
    <t xml:space="preserve">Échelle 1 à 5 selon les ancres de la feuille « Critères ». Pour « Coût et risque », 5 = très coûteux ou risqué. Cellules jaunes : à renseigner par KC (A9, F4). D1 en gris italique : sujet non noté par l'ENSAE, valeur 3 par défaut (inconnue, non pénalisée). Colonnes marquées (web) : issues de la recherche web, voir la feuille « Sources web ». Familles et indice calculés par formule : modifier un score les met à jour.</t>
  </si>
  <si>
    <t xml:space="preserve">Familles et indice (formules)</t>
  </si>
  <si>
    <t xml:space="preserve">Catégorie ENSAE</t>
  </si>
  <si>
    <t xml:space="preserve">A1
Actuariat non-vie / ACAS</t>
  </si>
  <si>
    <t xml:space="preserve">A2
Réassurance / risque extrême / catastrophe</t>
  </si>
  <si>
    <t xml:space="preserve">A3
Assurance vie / prévoyance (exploration)</t>
  </si>
  <si>
    <t xml:space="preserve">A4
Quant finance (research / trading)</t>
  </si>
  <si>
    <t xml:space="preserve">A5
Conseil généraliste (stratégie / risque)</t>
  </si>
  <si>
    <t xml:space="preserve">A6
Conseil spécialisé actuariat</t>
  </si>
  <si>
    <t xml:space="preserve">A7
Institutions et développement</t>
  </si>
  <si>
    <t xml:space="preserve">A8
Compétences portables</t>
  </si>
  <si>
    <t xml:space="preserve">A9
Motivation réelle [KC]</t>
  </si>
  <si>
    <t xml:space="preserve">B1
Notoriété de l'organisme (web)</t>
  </si>
  <si>
    <t xml:space="preserve">B2
Pertinence de la marque pour nos cibles (web)</t>
  </si>
  <si>
    <t xml:space="preserve">B3
Réputation de l'encadrant (web)</t>
  </si>
  <si>
    <t xml:space="preserve">B4
Lisibilité en une ligne</t>
  </si>
  <si>
    <t xml:space="preserve">B5
Signal académique</t>
  </si>
  <si>
    <t xml:space="preserve">C1
Probabilité de débouché (web)</t>
  </si>
  <si>
    <t xml:space="preserve">C2
Recommandation et réseau (web)</t>
  </si>
  <si>
    <t xml:space="preserve">C3
Portée internationale (web)</t>
  </si>
  <si>
    <t xml:space="preserve">C4
Valeur en entretien</t>
  </si>
  <si>
    <t xml:space="preserve">D1
Notation et commentaire ENSAE</t>
  </si>
  <si>
    <t xml:space="preserve">D2
Clarté du cahier des charges</t>
  </si>
  <si>
    <t xml:space="preserve">D3
Données : disponibilité et accès</t>
  </si>
  <si>
    <t xml:space="preserve">D4
Adéquation au programme de 2A</t>
  </si>
  <si>
    <t xml:space="preserve">D5
Calibrage scientifique</t>
  </si>
  <si>
    <t xml:space="preserve">D6
Qualité probable de l'encadrement (web)</t>
  </si>
  <si>
    <t xml:space="preserve">E1
Profondeur mathématique et statistique</t>
  </si>
  <si>
    <t xml:space="preserve">E2
Nouveauté des méthodes acquises</t>
  </si>
  <si>
    <t xml:space="preserve">E3
Livrable montrable</t>
  </si>
  <si>
    <t xml:space="preserve">E4
Différenciation</t>
  </si>
  <si>
    <t xml:space="preserve">F1
Budget de temps réaliste</t>
  </si>
  <si>
    <t xml:space="preserve">F2
Difficulté technique</t>
  </si>
  <si>
    <t xml:space="preserve">F3
Charge de préparation des données</t>
  </si>
  <si>
    <t xml:space="preserve">F4
Compatibilité avec le calendrier [KC]</t>
  </si>
  <si>
    <t xml:space="preserve">F5
Risque d'exécution</t>
  </si>
  <si>
    <t xml:space="preserve">F6
Répartissabilité à 4-5</t>
  </si>
  <si>
    <t xml:space="preserve">F7
Confidentialité</t>
  </si>
  <si>
    <t xml:space="preserve">F8
Probabilité d'obtenir le sujet</t>
  </si>
  <si>
    <t xml:space="preserve">Fit (max A1-A7)</t>
  </si>
  <si>
    <t xml:space="preserve">Signal (moy. B1-B5)</t>
  </si>
  <si>
    <t xml:space="preserve">Exit (moy. C1-C4)</t>
  </si>
  <si>
    <t xml:space="preserve">Note (moy. D1, D2, D4, D6)</t>
  </si>
  <si>
    <t xml:space="preserve">Apprentissage (moy. E1-E4)</t>
  </si>
  <si>
    <t xml:space="preserve">Risque (moy. D3, D5, F1-F7)</t>
  </si>
  <si>
    <t xml:space="preserve">Indice (moyenne des six familles)</t>
  </si>
  <si>
    <t xml:space="preserve">Confiance (fiche)</t>
  </si>
  <si>
    <t xml:space="preserve">Confiance (web)</t>
  </si>
  <si>
    <t xml:space="preserve">Note ENSAE</t>
  </si>
  <si>
    <t xml:space="preserve">Ajustements après lecture du commentaire ENSAE</t>
  </si>
  <si>
    <t xml:space="preserve">Haute</t>
  </si>
  <si>
    <t xml:space="preserve">Faible</t>
  </si>
  <si>
    <t xml:space="preserve">D5 4→5</t>
  </si>
  <si>
    <t xml:space="preserve">D4 3→2, D5 3→4</t>
  </si>
  <si>
    <t xml:space="preserve">Moyenne</t>
  </si>
  <si>
    <t xml:space="preserve">D4 4→5</t>
  </si>
  <si>
    <t xml:space="preserve">non noté</t>
  </si>
  <si>
    <t xml:space="preserve">Analyse longitudinale de la base OPERAT - Comment les consommations énergétiques des établissements tertiaire…</t>
  </si>
  <si>
    <t xml:space="preserve">D2 2→1, D3 4→5</t>
  </si>
  <si>
    <t xml:space="preserve">Souscription et résiliation d'un abonnement de santé connectée : détecter les signaux d'usage précurseurs et…</t>
  </si>
  <si>
    <t xml:space="preserve">Identification des anomalies de trajectoires de méthaniers pour l'obtention de statistiques agrégées sur les…</t>
  </si>
  <si>
    <t xml:space="preserve">Sensibilité au choix des lois a priori dans les modèles bayésiens hiérarchiques : effets sur l'estimation et…</t>
  </si>
  <si>
    <t xml:space="preserve">How can we measure health and physical dysregulation? A multiverse analysis of The Irish Longitudinal Study o…</t>
  </si>
  <si>
    <t xml:space="preserve">Sharing or Separating? Trends in Income Pooling among Couples, 1988–2022. Analysis of the ISSP Family and Cha…</t>
  </si>
  <si>
    <t xml:space="preserve">His Job, Her Job? Trends in the Division of Household Labor among Couples, 1988–2022. Analysis of the ISSP Fa…</t>
  </si>
  <si>
    <t xml:space="preserve">Working Around the Clock? Trends in Evening, Night, and Weekend Work in Europe. Analysis of the European Unio…</t>
  </si>
  <si>
    <t xml:space="preserve">Mobiliser la datascience pour identifier l'heure d'induction anesthésique à partir de signaux mesurés lors de…</t>
  </si>
  <si>
    <t xml:space="preserve">Do Subjective Indicators of Wellbeing Predict an Objective Measure of Health? Are Any Deviations Dependent on…</t>
  </si>
  <si>
    <t xml:space="preserve">Prédiction de la popularité de contenus vidéo marketing pour les marques de luxe par analyse multimodale (com…</t>
  </si>
  <si>
    <t xml:space="preserve">D4 2→1</t>
  </si>
  <si>
    <t xml:space="preserve">Traitement de données dans le cadre de modèle de prévisions de taux et d'encours de crédit et dépôts bancaire…</t>
  </si>
  <si>
    <t xml:space="preserve">Une hallucination a-t-elle une forme – Géométrie interne des représentations et détection des erreurs des mod…</t>
  </si>
  <si>
    <t xml:space="preserve">D4 2→1, D5 4→5</t>
  </si>
  <si>
    <t xml:space="preserve">D4 3→2</t>
  </si>
  <si>
    <t xml:space="preserve">Modélisation et prédiction du risque auto : comparaison des méthodes actuarielles, du Machine Learning et de…</t>
  </si>
  <si>
    <t xml:space="preserve">D3 4→5</t>
  </si>
  <si>
    <t xml:space="preserve">When a critical material becomes scarce, do firms dig in and innovate around it, or pivot into new activities…</t>
  </si>
  <si>
    <t xml:space="preserve">Peut-on prédire la croissance du Pongamia à partir du sol – Modélisation statistique et spatiale d'une planta…</t>
  </si>
  <si>
    <t xml:space="preserve">Classement provisoire des sujets : High priority, Mid priority, Ne pas toucher</t>
  </si>
  <si>
    <t xml:space="preserve">Classes et rangs fixés par les règles de la feuille « Règles de classement » ; le rang suit l'indice (moyenne simple des six familles, sans pondération), départagé par le fit puis le signal. Les familles et l'indice se recalculent si vous modifiez un score dans « Scoring » ; la classe et le rang, eux, restent figés. Avis et conseil rédigés à la lecture de la fiche et de la recherche web.</t>
  </si>
  <si>
    <t xml:space="preserve">Classe</t>
  </si>
  <si>
    <t xml:space="preserve">Sous-catégorie</t>
  </si>
  <si>
    <t xml:space="preserve">Rang</t>
  </si>
  <si>
    <t xml:space="preserve">N°</t>
  </si>
  <si>
    <t xml:space="preserve">Fit</t>
  </si>
  <si>
    <t xml:space="preserve">Signal</t>
  </si>
  <si>
    <t xml:space="preserve">Exit</t>
  </si>
  <si>
    <t xml:space="preserve">Note</t>
  </si>
  <si>
    <t xml:space="preserve">Apprentissage</t>
  </si>
  <si>
    <t xml:space="preserve">Risque</t>
  </si>
  <si>
    <t xml:space="preserve">Indice</t>
  </si>
  <si>
    <t xml:space="preserve">Demande (F8)</t>
  </si>
  <si>
    <t xml:space="preserve">Avis</t>
  </si>
  <si>
    <t xml:space="preserve">Confiance</t>
  </si>
  <si>
    <t xml:space="preserve">High</t>
  </si>
  <si>
    <t xml:space="preserve">H1</t>
  </si>
  <si>
    <t xml:space="preserve">Cœur de cible</t>
  </si>
  <si>
    <t xml:space="preserve">Tarification vie et prévoyance avec données géographiques chez SCOR : GLM, fréquence-sévérité, modèles de durée, ML. Excellente adéquation au 2A, signal réassureur direct, mais données internes donc confidentialité probable.</t>
  </si>
  <si>
    <t xml:space="preserve">Candidat de premier rang pour votre profil réassurance et prévoyance. À mettre très haut dans les vœux, en sachant que la demande sera forte. Clarifier dès le départ ce qui sera citable.</t>
  </si>
  <si>
    <t xml:space="preserve">Fiche : Haute
Web : Faible</t>
  </si>
  <si>
    <t xml:space="preserve">Comparaison de stratégies de protection optionnelle (puts, collars, CPPI/OBPI) sur horizon long par simulation stochastique et backtest. Bon contenu de finance quantitative, avec un lien assurance vie et retraite. La fiche ne détaille qu'une partie des données.</t>
  </si>
  <si>
    <t xml:space="preserve">Bon candidat quant, proche du sujet 361 du même encadrant : n'en retenir qu'un seul sur les deux. Confirmer que les séries de volatilité implicite sont bien fournies.</t>
  </si>
  <si>
    <t xml:space="preserve">Fiche : Moyenne
Web : Faible</t>
  </si>
  <si>
    <t xml:space="preserve">Demande d'eau potable en Inde rurale à partir d'un essai randomisé de 60 000 ménages (données du papier AER 2026) : élasticités, hétérogénéité des effets (causal forests) et règles de ciblage des subventions (Empirical Welfare Maximization). Encadrant de premier plan, très forte profondeur, très bon signal académique et développement.</t>
  </si>
  <si>
    <t xml:space="preserve">L'un des meilleurs candidats pour le profil institutions et développement, et excellent pour la poursuite en recherche. Demande probablement forte ; confirmer l'accès aux données auprès de l'encadrant.</t>
  </si>
  <si>
    <t xml:space="preserve">Fiche : Haute
Web : Moyenne</t>
  </si>
  <si>
    <t xml:space="preserve">Estimer la VaR à 99,9 % d'un portefeuille de crédit par copules (Gaussienne, Student, Archimédiennes) et mesurer l'effet du choix de copule sur le capital. Cœur de métier du risque extrême, très bonne profondeur mathématique, titre clair.</t>
  </si>
  <si>
    <t xml:space="preserve">Cœur du risque extrême (copules, dépendance de queue). Demande forte probable ; la provenance des séries de défauts reste à confirmer.</t>
  </si>
  <si>
    <t xml:space="preserve">Intégrer les engagements hors bilan dans les modèles de risque de crédit (Merton/KMV et score d'Altman), avec les hyperscalers en étude de cas et validation par les spreads de CDS. Cahier des charges très complet, sujet d'actualité, données Bloomberg fournies.</t>
  </si>
  <si>
    <t xml:space="preserve">Bon sujet de finance de crédit, rigoureux. Le travail de reconstitution des engagements hors bilan à partir des comptes est la vraie charge ; à répartir tôt.</t>
  </si>
  <si>
    <t xml:space="preserve">Concevoir des portefeuilles optionnels protégés sous contrainte Solvabilité II, avec calcul simplifié du SCR. Cahier des charges très complet et lien direct avec l'assurance vie et la retraite. Recoupe fortement le sujet 282 du même encadrant.</t>
  </si>
  <si>
    <t xml:space="preserve">Le plus assurantiel des deux sujets d'options (282 et 361). Ne choisir qu'un seul des deux.</t>
  </si>
  <si>
    <t xml:space="preserve">Réplication d'une méthode de courbe des taux de Nelson-Siegel adaptée aux marchés illiquides (Kazakhstan), puis transfert à d'autres marchés émergents. Question de recherche claire, lien direct avec les institutions de développement. Risque : données rares en marchés frontières.</t>
  </si>
  <si>
    <t xml:space="preserve">Bonne piste pour le profil institutions et développement. Vérifier avec l'encadrant quelles données de marché sont réellement disponibles avant de choisir les pays.</t>
  </si>
  <si>
    <t xml:space="preserve">H2</t>
  </si>
  <si>
    <t xml:space="preserve">Pari à fort potentiel</t>
  </si>
  <si>
    <t xml:space="preserve">Structurer un fonds de finance mixte (tranches junior et senior) : risque de crédit de portefeuille, cascade de paiements par Monte-Carlo, stress, optimisation. Le tranchage first-loss est proche de la logique d'une réassurance en excédent de sinistre. Données et modèles encore « à définir ».</t>
  </si>
  <si>
    <t xml:space="preserve">Sujet à très fort alpha pour les profils institutions, développement et risque. Faire préciser le périmètre et les données avant de s'engager.</t>
  </si>
  <si>
    <t xml:space="preserve">Épizooties et marchés de la viande, à l'OMSA/WOAH : études d'événements, GARCH-DCC, régimes à seuil, VAR, différences de différences, gravité, sur de nombreuses sources publiques. Organisation internationale, travail en anglais, grande variété de méthodes. Mais objectif flou (preuves de concept d'un programme de travail) et menu trop large.</t>
  </si>
  <si>
    <t xml:space="preserve">Bon sujet pour le profil institutions internationales et séries temporelles de marché. Exiger un périmètre resserré (par exemple une maladie, un marché, deux méthodes) avant de s'engager.</t>
  </si>
  <si>
    <t xml:space="preserve">Fiche : Moyenne
Web : Moyenne</t>
  </si>
  <si>
    <t xml:space="preserve">Facteurs textuels (NLP/LLM) sur les dépôts SEC pour prévoir les rendements, en trois étapes jusqu'à l'intégration en portefeuille multifactoriel. Signal quant très fort : papier de référence (Lazy Prices), pipeline complet, livrable montrable. Coût élevé.</t>
  </si>
  <si>
    <t xml:space="preserve">Pari à fort potentiel pour le profil quant. Demande forte attendue (quant et LLM) ; réserver au meilleur groupe, avec un périmètre réduit aux deux premières étapes.</t>
  </si>
  <si>
    <t xml:space="preserve">Meta-learning bayésien et crédibilité de Bühlmann-Straub sur données simulées, avec un volet de tarification non-vie. Très forte profondeur et très différenciant, mais niveau élevé (PyMC, NUTS) et titre peu vendeur.</t>
  </si>
  <si>
    <t xml:space="preserve">Pari à fort potentiel si le groupe est à l'aise en bayésien. La crédibilité est un sujet d'examen de la filière non-vie, donc utile pour l'ACAS. Vérifier le niveau réel du groupe avant de s'engager.</t>
  </si>
  <si>
    <t xml:space="preserve">Embeddings multilingues pour la veille épidémique à l'OMSA/WOAH : pipeline de recherche sémantique comparé à une base lexicale, avec correction de la sensibilité et de la spécificité par modèles à classes latentes (Hui-Walter). Contenu statistique réel, organisation internationale, travail en anglais. Charge élevée (corpus à construire, annotation).</t>
  </si>
  <si>
    <t xml:space="preserve">Pari intéressant pour le profil institutions internationales ; la partie classes latentes est le point différenciant. À cadrer avec peu de modèles d'embedding.</t>
  </si>
  <si>
    <t xml:space="preserve">Adaptation au risque d'inondation et de canicule dans les métropoles européennes, au sein du projet ERC FiBeGa : enquêtes (n = 5 000), recensement, données hospitalières, simulation par agents. Signal académique très fort et lien climat et périls naturels, mais cahier des charges peu précis pour des élèves.</t>
  </si>
  <si>
    <t xml:space="preserve">Pari à fort potentiel pour l'angle climat et risques naturels, avec un encadrant ERC. Demander dès le départ la question précise et le périmètre des données, qui sont trop larges.</t>
  </si>
  <si>
    <t xml:space="preserve">Dynamique de la dette française : déterminants du spread OAT-Bund (régression, étude d'événements) et signaux avant-coureurs de crise avec équilibres multiples. Sujet très actuel et vendeur, mais deux volets très larges, à élaguer.</t>
  </si>
  <si>
    <t xml:space="preserve">Bon sujet de macro-finance. Forte demande probable à cause de l'actualité ; demander de se limiter au premier volet.</t>
  </si>
  <si>
    <t xml:space="preserve">H3</t>
  </si>
  <si>
    <t xml:space="preserve">Valeur sûre</t>
  </si>
  <si>
    <t xml:space="preserve">Combien de variables suffisent pour prédire le défaut d'entreprise ? Compare Altman/Ohlson, modèles de hasard de Shumway et ML, sur données publiques (SEC EDGAR, FRED). Cahier des charges excellent, livrable montrable, risque faible.</t>
  </si>
  <si>
    <t xml:space="preserve">Valeur sûre et très portable (logit, survie, boosting, calibration). Peu de lien avec l'assurance, mais un récit d'entretien très solide.</t>
  </si>
  <si>
    <t xml:space="preserve">Décomposer les chocs sur le prix du pétrole (offre, demande, incertitude) par VAR à la Kilian, puis mesurer leur effet sectoriel. Données publiques (OCDE, FMI), méthodes au programme de séries temporelles. Contenu raisonnable, sans lien avec vos filières.</t>
  </si>
  <si>
    <t xml:space="preserve">Valeur sûre en macro, risque faible. Utile si vous voulez un sujet sans surprise et un contact au Trésor ; peu de signal quant ou assurance.</t>
  </si>
  <si>
    <t xml:space="preserve">Modèle de gravité des flux touristiques entrants en France par nationalité : MCO à effets fixes, PPML, Lasso en option. Cahier des charges très précis, risque très faible, mais contenu scientifique modeste et sans lien avec vos filières.</t>
  </si>
  <si>
    <t xml:space="preserve">Valeur sûre pour la note, mais signal faible. À réserver à un vœu de fin de liste.</t>
  </si>
  <si>
    <t xml:space="preserve">Mid</t>
  </si>
  <si>
    <t xml:space="preserve">M1</t>
  </si>
  <si>
    <t xml:space="preserve">Bon signal, fit partiel</t>
  </si>
  <si>
    <t xml:space="preserve">Effet du risque géopolitique sur l'innovation à partir de données internationales de brevets : panel à effets fixes, modèles de comptage, gravité, réseaux de citations. Encadrant universitaire en anglais, données publiques, bonne profondeur, mais périmètre à préciser.</t>
  </si>
  <si>
    <t xml:space="preserve">Plan B académique intéressant pour la recherche, sans lien avec vos filières. Obtenir tôt le périmètre exact (agrégation, période).</t>
  </si>
  <si>
    <t xml:space="preserve">Impact économique du vieillissement sur la consommation et le PIB, en suivant Maestas, Mullen et Powell sur données OCDE et FMI. Le thème rejoint la longévité mais le traitement reste macroéconomique. Fiche courte, risque de contenu modeste.</t>
  </si>
  <si>
    <t xml:space="preserve">Plan B macro peu risqué. Le lien avec la longévité et l'assurance vie reste indirect.</t>
  </si>
  <si>
    <t xml:space="preserve">Efficacité économique des hôpitaux publics et privés sur données publiques (SAE, Hospidiag) : fonction de demande de personnel avec variables instrumentales de type shift-share. Données ouvertes, encadrant de premier plan, travail lié à un working paper en cours. Instrumentation avancée mais lien nul avec vos filières.</t>
  </si>
  <si>
    <t xml:space="preserve">Bon plan B en économétrie appliquée. Aucun lien avec l'assurance malgré le thème santé.</t>
  </si>
  <si>
    <t xml:space="preserve">M2</t>
  </si>
  <si>
    <t xml:space="preserve">Bon fit, signal limité</t>
  </si>
  <si>
    <t xml:space="preserve">Le titre (corrélation actions/obligations) masque un vrai sujet ALM sous Solvabilité II pour assureurs vie, sur données publiques (SFCR, EIOPA). Fort alpha caché pour qui vise l'assurance vie ou le réglementaire.</t>
  </si>
  <si>
    <t xml:space="preserve">À garder si l'exploration vie vous intéresse. Cadrer tôt le périmètre : la collecte des SFCR sur dix ans est lourde, et le modèle ALM stylisé doit rester simple.</t>
  </si>
  <si>
    <t xml:space="preserve">Générer des scénarios plausibles de consommation de gaz sous températures extrêmes alors que les résidus ne viennent que de conditions normales (GAM, GEV). Vrai problème d'extrapolation vers les queues, avec valeurs extrêmes et incertitude de modèle. Fiche brève, données internes non détaillées.</t>
  </si>
  <si>
    <t xml:space="preserve">Bon angle valeurs extrêmes, le plus proche de la réassurance dans le bloc énergie. À faire préciser : données, livrables, volume. Alpha possible.</t>
  </si>
  <si>
    <t xml:space="preserve">Modèle factoriel (ACP) et économétrie des devises émergentes, étude du portage, backtest de couverture. Données fournies par l'entreprise, travail en R. Contenu correct, lien limité avec vos filières.</t>
  </si>
  <si>
    <t xml:space="preserve">Plan B de finance émergente, sans risque majeur. Le texte de la fiche est tronqué au début, donc à faire clarifier.</t>
  </si>
  <si>
    <t xml:space="preserve">Souscription et résiliation d'un abonnement de santé connectée : détecter les signaux d'usage précurseurs et identifier les levie…</t>
  </si>
  <si>
    <t xml:space="preserve">Prévision de la souscription et de la résiliation d'un abonnement (Cox, censure à droite, covariables variant dans le temps, effet causal d'une action). Très riche méthodologiquement, avec de vraies données, et récit d'entretien fort.</t>
  </si>
  <si>
    <t xml:space="preserve">Intéressant pour les modèles de durée, utiles aussi en prévoyance et en vie. Les données sont lourdes à préparer et confidentielles, donc le livrable sera peu publiable.</t>
  </si>
  <si>
    <t xml:space="preserve">Expliquer les changements de titre le moins cher à livrer (CTD) sur les futures obligataires. Fiche très courte : objectif clair mais données non décrites et méthodes seulement listées.</t>
  </si>
  <si>
    <t xml:space="preserve">Sujet de taux intéressant mais sous-spécifié. À ne retenir qu'après avoir obtenu la description des données et la définition précise du livrable.</t>
  </si>
  <si>
    <t xml:space="preserve">Prédiction de la demande et du prix dans l'hôtellerie, puis allocation optimale sous contrainte de capacité (SARIMAX, LightGBM, modèles de fondation de séries temporelles, point intérieur). Trois briques indépendantes qui se répartissent bien, récit de conseil clair. Données anonymisées et synthétiques non dimensionnées.</t>
  </si>
  <si>
    <t xml:space="preserve">Bon plan B de conseil et prévision, facile à répartir à quatre ou cinq. Peu de lien avec vos filières.</t>
  </si>
  <si>
    <t xml:space="preserve">Modélisation et prédiction du risque auto : comparaison des méthodes actuarielles, du Machine Learning et de l'Intelligence Artif…</t>
  </si>
  <si>
    <t xml:space="preserve">Tarification auto en fréquence-sévérité : GLM contre ML contre IA générative, avec explicabilité. Contenu actuariel non-vie conforme au 2A, mais organisme introuvable sur le web et données internes non confirmées.</t>
  </si>
  <si>
    <t xml:space="preserve">Contenu idéal pour l'ACAS, risque d'exécution élevé. À ne retenir qu'après confirmation écrite de l'accès aux données, de leur volume et de la possibilité de citer le projet.</t>
  </si>
  <si>
    <t xml:space="preserve">Mesurer l'assurabilité en assurance auto à partir de demandes de cotation (nombre d'assureurs, prix, exclusions). Thème d'actualité, proche de la réassurance et du climat. Mais la fiche est mince : objectifs et livrables non définis, données décrites en une ligne.</t>
  </si>
  <si>
    <t xml:space="preserve">Alpha possible sur un angle non-vie et climat, mais seulement si l'encadrant précise le cahier des charges. À réserver à un vœu intermédiaire.</t>
  </si>
  <si>
    <t xml:space="preserve">M3</t>
  </si>
  <si>
    <t xml:space="preserve">Plan B polyvalent</t>
  </si>
  <si>
    <t xml:space="preserve">Régions de prédiction conjointes pour des prévisions de demande électrique à 24 dimensions : couverture jointe contre taille de la région, quantiles géométriques et transport optimal en extension. Données publiques (RTE éCO2mix), très forte profondeur, livrable montrable. La question est statistique plus qu'énergétique.</t>
  </si>
  <si>
    <t xml:space="preserve">Très bon plan B scientifique, peu risqué grâce au noyau de base simple. L'extension en transport optimal est optionnelle. Peu de lien direct avec assurance ou finance.</t>
  </si>
  <si>
    <t xml:space="preserve">Évaluer efficacement des agents LLM sous budget limité : allocation adaptative de tentatives, estimation de pass@k, calibration d'intervalles de confiance, sur deux jeux de données publics. Étiqueté NLP mais statistique pure (estimation, plan d'expérience), sans entraîner d'agents. Excellent alpha caché.</t>
  </si>
  <si>
    <t xml:space="preserve">Très bon plan B scientifique, peu risqué, et utile pour montrer une rigueur d'estimation. Sans lien direct avec assurance ou finance.</t>
  </si>
  <si>
    <t xml:space="preserve">Expliquer l'incertitude prédictive d'un modèle (conformal prediction, SHAP, régression quantile) sur Ames Housing et sur simulation. Question claire, protocole de test quantitatif, données publiques, livrable montrable. Peu de lien métier, mais alpha caché.</t>
  </si>
  <si>
    <t xml:space="preserve">Très bon plan B scientifique, peu risqué. Utile en entretien pour montrer une rigueur méthodologique, sans lien direct avec assurance ou finance.</t>
  </si>
  <si>
    <t xml:space="preserve">Statut social perçu et santé dans l'étude longitudinale ELSA, par effets fixes asymétriques (Allison 2019). Prolongement d'un précédent StatApp publié, très bon signal académique, panel de personnes de plus de 50 ans. Lien partiel avec le vieillissement et la longévité, mais l'angle est sociologique.</t>
  </si>
  <si>
    <t xml:space="preserve">L'un des plus solides du bloc Präg pour la poursuite en recherche, avec un lien indirect avec la longévité. Plan B de qualité, pas un cœur de cible.</t>
  </si>
  <si>
    <t xml:space="preserve">Reconstituer l'emploi productif dans les quartiers de gare du Grand Paris Express par appariement Sirene/Flores et estimation en petite zone avec quantification de l'incertitude. Cahier des charges très riche, données ouvertes, livrable public. Charge de préparation de données élevée et peu de lien avec vos filières.</t>
  </si>
  <si>
    <t xml:space="preserve">Bon sujet de statistique publique, très différenciant. Le travail de géocodage et de calage est la vraie charge ; à répartir dès le départ.</t>
  </si>
  <si>
    <t xml:space="preserve">Traitement de la période Covid par imputation (régression quantile) et désagrégation temporelle (Chow-Lin) pour les prévisions de taux et d'encours d'ALM bancaire. Problèmes bien posés, données ouvertes. Contenu technique modeste, avec un lien partiel avec l'ALM.</t>
  </si>
  <si>
    <t xml:space="preserve">Plan B sans risque pour un profil banque et ALM. L'ALM est bancaire, pas assurantiel.</t>
  </si>
  <si>
    <t xml:space="preserve">Polarisation des heures de travail dans l'enquête européenne sur les forces de travail, par régression quantile inconditionnelle et décomposition d'Oaxaca-Blinder. Méthodes bien classées, possibilité de publication, mais accès aux microdonnées Eurostat à demander et sans lien avec vos filières.</t>
  </si>
  <si>
    <t xml:space="preserve">Plan B de statistique appliquée. Faire confirmer le calendrier d'accès aux données Eurostat.</t>
  </si>
  <si>
    <t xml:space="preserve">Modèle hédonique des prix des forêts françaises (DVF+, BD Forêt, BD Alti) avec chocs climatiques, en lien avec un papier de l'encadrant. Combler un vide de la littérature, données publiques géocodées, livrable montrable. Lien partiel avec le risque climatique sur les actifs.</t>
  </si>
  <si>
    <t xml:space="preserve">Bon plan B pour un angle climat et valeur d'actifs. La jointure spatiale des bases est la principale charge de données.</t>
  </si>
  <si>
    <t xml:space="preserve">Mortalité des enfants assistés de la Nièvre pendant la guerre de 1914-1918, sur 110 000 conscrits (statistiques descriptives, spatiale, économétrie). Sujet très différenciant, avec comparaison de mortalité entre groupes, mais cadre historique sans lien avec l'assurance.</t>
  </si>
  <si>
    <t xml:space="preserve">Curiosité à fort alpha, avec une comparaison de mortalité entre groupes, mais sans lien avec vos filières. Plan B de complément seulement.</t>
  </si>
  <si>
    <t xml:space="preserve">Arbitrages entre coût du logement, coût de la mobilité et temps de trajet, par appariement statistique de deux enquêtes Insee (Budget de famille, Emploi du temps). Cahier des charges très détaillé, méthodes riches (imputations multiples, régressions quantiles), données publiques.</t>
  </si>
  <si>
    <t xml:space="preserve">Bon plan B méthodologique pour l'appariement et l'imputation. Peu de lien avec l'assurance ou la finance. À noter : les pistes 1 et 3 dépendent d'une hypothèse d'indépendance conditionnelle, à bien discuter.</t>
  </si>
  <si>
    <t xml:space="preserve">Cartographier la diversité parmi les inventeurs, chercheurs et entrepreneurs en France en prédisant genre et origine à partir des noms. Produit un observatoire public, très bon signal académique, méthodes de classification portables. Sujet sensible (inférence d'origine à partir de noms), sans lien avec vos filières.</t>
  </si>
  <si>
    <t xml:space="preserve">Bon plan B pour un portfolio de data science, à discuter sur le plan éthique. Pas de lien avec vos filières.</t>
  </si>
  <si>
    <t xml:space="preserve">Scoring de crédit par embeddings de LLM sur un jeu public de 1 000 lignes. Sujet à la mode, très portable et entièrement montrable, mais classé Actuariat à tort et à faible profondeur mathématique.</t>
  </si>
  <si>
    <t xml:space="preserve">Bon plan B portable plutôt que cœur de cible. Attention : 1 000 observations rendent les écarts de performance peu significatifs, et les modèles de 8 milliards de paramètres demandent du GPU.</t>
  </si>
  <si>
    <t xml:space="preserve">Mesurer la dérégulation physique (charge allostatique) par analyse de courbe de spécifications sur une cohorte irlandaise (TILDA). Méthode intéressante et possibilité de publication affichée, mais sujet de santé publique et d'épidémiologie sociale, sans lien avec vos filières ; l'accès aux données TILDA demande en général une demande préalable.</t>
  </si>
  <si>
    <t xml:space="preserve">Plan B de rigueur méthodologique, sans lien avec vos filières. Faire confirmer l'accès aux données TILDA.</t>
  </si>
  <si>
    <t xml:space="preserve">Nowcasting des Nonfarm Payrolls américains par données alternatives : modèles à facteurs, filtre de Kalman, MIDAS, Lasso, évalué en pseudo temps réel face au consensus. Cahier des charges excellent, indicateur suivi par les marchés, récit d'entretien fort.</t>
  </si>
  <si>
    <t xml:space="preserve">Bon sujet de séries temporelles à fort récit pour les entretiens de marché. Données propriétaires fournies par QuantCube, ce qui pose la question de la confidentialité.</t>
  </si>
  <si>
    <t xml:space="preserve">Consommation culturelle et intersectionnalité dans l'enquête américaine SPPA 2022 avec la méthode MAIHDA (modèles à effets aléatoires). Données publiques, bien encadré, mais sujet de sociologie sans lien avec vos filières.</t>
  </si>
  <si>
    <t xml:space="preserve">Plan B sans risque pour un groupe attiré par les modèles multiniveaux, sans lien avec vos filières.</t>
  </si>
  <si>
    <t xml:space="preserve">Exposition au bruit des transports et réussite scolaire : cartes de bruit croisées avec les résultats au brevet, à partir de variations temporelles et spatiales. Question claire, données publiques, bonne encadrante, mais méthode peu détaillée et sans lien avec vos filières.</t>
  </si>
  <si>
    <t xml:space="preserve">Plan B d'économétrie appliquée. Demander tôt le détail de la stratégie d'identification.</t>
  </si>
  <si>
    <t xml:space="preserve">Mesurer et réduire le biais culturel de petits modèles de langage sur CulturalBench, avec six étapes explicites et de faibles besoins de calcul. Bien cadré et peu risqué, mais éloigné de vos filières et demande de se former aux LLM.</t>
  </si>
  <si>
    <t xml:space="preserve">Plan B NLP raisonnable pour un groupe attiré par les LLM, sans lien avec vos filières.</t>
  </si>
  <si>
    <t xml:space="preserve">Ne pas toucher</t>
  </si>
  <si>
    <t xml:space="preserve">N1</t>
  </si>
  <si>
    <t xml:space="preserve">Hors parcours</t>
  </si>
  <si>
    <t xml:space="preserve">Identité de genre et inégalités de santé dans l'European Social Survey, par modèles multiniveaux. Données publiques, bon cadrage, pas de lien avec vos filières.</t>
  </si>
  <si>
    <t xml:space="preserve">À écarter pour vos objectifs.</t>
  </si>
  <si>
    <t xml:space="preserve">Do Subjective Indicators of Wellbeing Predict an Objective Measure of Health? Are Any Deviations Dependent on Sociodemographic Ch…</t>
  </si>
  <si>
    <t xml:space="preserve">Écart entre bien-être déclaré et santé mesurée (biomarqueurs) dans l'étude UKHLS, selon les caractéristiques sociodémographiques. Données réputées accessibles, méthodes standard (régression, analyse factorielle), encadrement en anglais. Sujet de sociologie de la santé, sans lien avec vos filières.</t>
  </si>
  <si>
    <t xml:space="preserve">Hors de vos filières. Sûr pour la note, mais sans valeur pour vos objectifs.</t>
  </si>
  <si>
    <t xml:space="preserve">Résultats des élections municipales de 2026 à Paris et caractéristiques des quartiers (modèle de probabilité linéaire, panel, ML), à partir de données ouvertes géolocalisées. Sujet d'actualité à données publiques, mais petit nombre d'unités et sans lien avec vos filières.</t>
  </si>
  <si>
    <t xml:space="preserve">Hors de vos filières. Peu risqué, mais sans valeur pour vos objectifs.</t>
  </si>
  <si>
    <t xml:space="preserve">Écarts de salaire entre hommes et femmes dans les enquêtes Génération du Céreq (panel, variables instrumentales). Sujet classique, bon encadrant, risque faible, mais contenu méthodologique standard et sans lien avec vos filières.</t>
  </si>
  <si>
    <t xml:space="preserve">Travail du soir, de nuit et de week-end en Europe (enquête européenne sur les forces de travail), par effets aléatoires et fixes. Possibilité de publication, mais accès aux microdonnées Eurostat à demander et sans lien avec vos filières.</t>
  </si>
  <si>
    <t xml:space="preserve">Rationalité limitée et coûts de la voiture à partir de l'enquête LocarEsid (logit, probit, logit multinomial, actualisation quasi-hyperbolique en option). Niveau très bien calibré pour un 2A, risque faible, mais profondeur modeste et sans lien avec vos filières.</t>
  </si>
  <si>
    <t xml:space="preserve">Croyances conspirationnistes en Europe (European Social Survey), modèles multiniveaux. Données publiques, bon cadrage, mais sujet de sociologie politique sans lien avec vos filières.</t>
  </si>
  <si>
    <t xml:space="preserve">Sharing or Separating? Trends in Income Pooling among Couples, 1988–2022. Analysis of the ISSP Family and Changing Gender Roles M…</t>
  </si>
  <si>
    <t xml:space="preserve">Mise en commun des revenus dans les couples de 1988 à 2022 (ISSP), par modèles à effets aléatoires et fixes. Données gratuites, bonne piste de publication, mais sujet de sociologie de la famille.</t>
  </si>
  <si>
    <t xml:space="preserve">His Job, Her Job? Trends in the Division of Household Labor among Couples, 1988–2022. Analysis of the ISSP Family and Changing Ge…</t>
  </si>
  <si>
    <t xml:space="preserve">Répartition des tâches domestiques dans les couples de 1988 à 2022 (ISSP), par modèles à effets aléatoires et fixes. Même cadre que le sujet 327.</t>
  </si>
  <si>
    <t xml:space="preserve">Peut-on prédire la croissance du Pongamia à partir du sol – Modélisation statistique et spatiale d'une plantation agroforestière…</t>
  </si>
  <si>
    <t xml:space="preserve">Prédire la croissance du Pongamia à Madagascar à partir du sol : GAM, effets mixtes, survie, statistique spatiale, forêts aléatoires. Méthodes variées et très portables, mais domaine agroforestier sans lien avec vos filières, avec des données de terrain à la qualité incertaine.</t>
  </si>
  <si>
    <t xml:space="preserve">Hors de vos filières ; ne vaut que pour un groupe motivé par l'environnement.</t>
  </si>
  <si>
    <t xml:space="preserve">Trajectoires d'entrée dans la vie active des descendants d'immigrés (enquête Trajectoires et Origines 2) par appariement optimal (TraMineR) puis modèles économétriques. Cahier des charges clair, données de la statistique publique, méthode d'analyse de séquences peu courante. Sujet de sociologie, sans lien avec vos filières.</t>
  </si>
  <si>
    <t xml:space="preserve">Hors de vos filières ; méthode originale (analyse de séquences) pour qui s'intéresse aux sciences sociales.</t>
  </si>
  <si>
    <t xml:space="preserve">Surcoûts salariaux des hôpitaux frontaliers par décomposition d'Oaxaca-Blinder pour fixer des coefficients géographiques. Problème de politique publique précis, mais sujet étroit, accès aux données Insee à confirmer, et sans lien avec vos filières.</t>
  </si>
  <si>
    <t xml:space="preserve">Hors de vos filières ; sujet étroit de statistique publique.</t>
  </si>
  <si>
    <t xml:space="preserve">Prévision de la demande pour un éditeur de presse (points de vente, titres, historique de ventes) avec LightGBM. La fiche ne décrit que le contexte, sans objectif, livrable ni volume de données.</t>
  </si>
  <si>
    <t xml:space="preserve">À écarter : trop peu de contenu défini et sans lien avec vos filières.</t>
  </si>
  <si>
    <t xml:space="preserve">Évolution des thématiques des publications de l'Ined depuis les années 1970 par classification automatique (BERT, LLM) puis régressions. Bonne combinaison NLP et statistique, données accessibles, mais sujet très spécialisé et sans lien avec vos filières.</t>
  </si>
  <si>
    <t xml:space="preserve">Prévision de production éolienne par deep learning, modèles de fondation et boosting, sur des données hébergées sur une plateforme de compétition. Fiche d'une ligne : ni objectifs, ni livrables, ni cadre précisés.</t>
  </si>
  <si>
    <t xml:space="preserve">À écarter en l'état : trop peu d'informations pour juger, et sans lien avec vos filières.</t>
  </si>
  <si>
    <t xml:space="preserve">Fiche : Faible
Web : Faible</t>
  </si>
  <si>
    <t xml:space="preserve">Réévaluer le modèle ENGIE de consommation horaire de gaz en Belgique (GAM plus résidus) face à des arbres de gradient. Tâche de prévision classique et bien posée, mais contenu scientifique modeste et données internes.</t>
  </si>
  <si>
    <t xml:space="preserve">À écarter pour vos objectifs. Pas de lien avec vos filières.</t>
  </si>
  <si>
    <t xml:space="preserve">Analyse longitudinale de la base OPERAT - Comment les consommations énergétiques des établissements tertiaires français ont-elles…</t>
  </si>
  <si>
    <t xml:space="preserve">Évolution 2020-2024 de la consommation énergétique d'établissements tertiaires (base OPERAT, environ 1 million de lignes) par régression, clustering et logit. Données volumineuses fournies, méthodes standard, mais contenu scientifique modeste et sans lien avec vos filières.</t>
  </si>
  <si>
    <t xml:space="preserve">À écarter : peu de valeur pour vos objectifs, et le titre n'est pas vendeur.</t>
  </si>
  <si>
    <t xml:space="preserve">Identification des anomalies de trajectoires de méthaniers pour l'obtention de statistiques agrégées sur les temps d'attente perm…</t>
  </si>
  <si>
    <t xml:space="preserve">Détection d'anomalies dans des trajectoires AIS de méthaniers pour chiffrer les gains d'une approche « juste à temps ». Pipeline en six étapes, données internes précises. Bon exercice de séries temporelles, mais domaine maritime sans lien avec vos filières.</t>
  </si>
  <si>
    <t xml:space="preserve">À écarter pour vos objectifs. Reste un sujet correct de séries temporelles pour un groupe motivé par la logistique.</t>
  </si>
  <si>
    <t xml:space="preserve">Rapprocher des adresses Sirene de la Base Adresse Nationale (similarité de chaînes, record linkage probabiliste, ML), avec des données publiques déjà prêtes. Bien cadré et peu risqué, mais contenu scientifique modeste.</t>
  </si>
  <si>
    <t xml:space="preserve">Hors de vos filières. Dernier recours pour la note, signal très faible.</t>
  </si>
  <si>
    <t xml:space="preserve">N2</t>
  </si>
  <si>
    <t xml:space="preserve">Risque trop élevé</t>
  </si>
  <si>
    <t xml:space="preserve">Sensibilité aux lois a priori dans les modèles bayésiens hiérarchiques de mesure d'efficacité marketing, avec portage de power-scaling vers PyMC. Contribution quasi académique, mais niveau de recherche et très éloigné de vos filières.</t>
  </si>
  <si>
    <t xml:space="preserve">À écarter pour vos objectifs. Sujet pour un groupe passionné de bayésien, avec un risque élevé de note faute de maîtrise.</t>
  </si>
  <si>
    <t xml:space="preserve">When a critical material becomes scarce, do firms dig in and innovate around it, or pivot into new activities? And does their exi…</t>
  </si>
  <si>
    <t xml:space="preserve">Effet de pénuries de matières critiques sur la diversification des entreprises : différences de différences autour de chocs d'offre, brevets, texte comme donnée. Question de recherche de très haut niveau, données de qualité académique, mais niveau thèse et appariement entreprise-brevets très lourd.</t>
  </si>
  <si>
    <t xml:space="preserve">Excellent signal académique pour qui vise la recherche, mais coût très élevé et risque de sur-ambition. À réserver à un groupe très solide, avec un périmètre réduit.</t>
  </si>
  <si>
    <t xml:space="preserve">Géométrie interne des représentations de LLM et détection d'hallucinations : dimension intrinsèque, matrices aléatoires, tests ROC corrélés, modèles mixtes, contrôle du taux de fausses découvertes. Statistique très riche, données entièrement publiques et exécutables sur un portable, notebook de départ fourni, lien avec des travaux de workshop. Niveau élevé.</t>
  </si>
  <si>
    <t xml:space="preserve">Très forte profondeur statistique et alpha caché fort, mais niveau thèse selon l'équipe pédagogique. Pour un groupe très à l'aise en statistique, sans lien direct avec assurance ou finance.</t>
  </si>
  <si>
    <t xml:space="preserve">Modèle prédictif d'événements cardiovasculaires et de trajectoires sur UK Biobank (clustering et supervisé, survie). Fiche rédigée comme un sujet de thèse, avec un niveau très élevé et un cadrage peu adapté à des élèves. L'accès à UK Biobank demande une candidature approuvée.</t>
  </si>
  <si>
    <t xml:space="preserve">À écarter : niveau et cadrage inadaptés au 2A, et hors de vos filières.</t>
  </si>
  <si>
    <t xml:space="preserve">Outil de veille réglementaire par LLM et RAG pour un assureur. Contexte assurance mais contenu d'ingénierie NLP, sans modélisation actuarielle ni statistique profonde.</t>
  </si>
  <si>
    <t xml:space="preserve">À éviter si le but est le signal scientifique. Il ne vaut que pour la ligne « Cardif » sur un CV, et le risque est une note limitée faute de contenu statistique.</t>
  </si>
  <si>
    <t xml:space="preserve">Facteurs de rotation du personnel dans des usines éthiopiennes et ivoiriennes : modèles prédictifs et modèles AKM sur données confidentielles de personnel. Fiche très brève sans question précise, données confidentielles donc livrable non montrable, mais thème développement et encadrement de recherche.</t>
  </si>
  <si>
    <t xml:space="preserve">À écarter en l'état faute de cahier des charges. Contact utile seulement pour qui veut faire de la recherche en développement.</t>
  </si>
  <si>
    <t xml:space="preserve">Prédiction de la popularité de vidéos de marques de luxe par vision par ordinateur et NLP, avec collecte par scraping à répartir entre l'entreprise et les élèves. Hors champ ENSAE, très coûteux, risque juridique et technique sur les données.</t>
  </si>
  <si>
    <t xml:space="preserve">À écarter : coût supérieur à la valeur, et aucune de vos filières n'est concernée.</t>
  </si>
  <si>
    <t xml:space="preserve">Quantification de l'incertitude de systèmes multi-agents LLM. La fiche elle-même prévient que le sujet est dense et difficile pour un 2A et qu'il faut maîtriser les LLM, ce qui dépasse le programme.</t>
  </si>
  <si>
    <t xml:space="preserve">À écarter, sauf appétence forte pour les agents LLM. Le risque d'exécution (déploiement, GPU) est très élevé.</t>
  </si>
  <si>
    <t xml:space="preserve">Représentation et optimisation de portefeuilles réels d'investisseurs par échanges d'actifs (cross trades). Données décrites comme une liste de souhaits, modèles et bibliographie « TBC ». Cadrage encore très flou, données probablement confidentielles.</t>
  </si>
  <si>
    <t xml:space="preserve">À écarter en l'état : trop d'inconnues sur les données, les méthodes et la confidentialité. À reconsidérer seulement si l'encadrant précise le cahier des charges avant les vœux.</t>
  </si>
  <si>
    <t xml:space="preserve">Robustesse du raisonnement des modèles de langage selon la langue, avec MMLU-ProX et un plan apparié. Bien borné, peu coûteux en calcul, mais sans lien avec vos filières et demande de maîtriser l'évaluation de LLM.</t>
  </si>
  <si>
    <t xml:space="preserve">À écarter pour vos objectifs. Variante correcte du sujet 313 si l'évaluation de LLM vous intéresse.</t>
  </si>
  <si>
    <t xml:space="preserve">Clustering de trajectoires de patients asthmatiques sévères, par extension de RecForest (forêts de survie à événements récurrents) sur le SNDS. Contenu de survie riche, mais accès au SNDS lourd et réglementé, niveau de recherche et fiche peu structurée.</t>
  </si>
  <si>
    <t xml:space="preserve">À écarter : risque d'exécution trop élevé, surtout sur l'accès aux données.</t>
  </si>
  <si>
    <t xml:space="preserve">Débruitage audio par deep learning (PyTorch). Fiche d'une phrase, traitement du signal éloigné du programme ENSAE, calcul sur GPU.</t>
  </si>
  <si>
    <t xml:space="preserve">À écarter.</t>
  </si>
  <si>
    <t xml:space="preserve">Prédire l'intention d'achat de prestations data et IA par des entreprises : survie, apprentissage positif-non étiqueté, détection de ruptures, NLP, apprentissage de classement. Cinq familles de méthodes et un panel à construire à partir de sources hétérogènes : bien trop large, sans lien avec vos filières, organisme peu connu.</t>
  </si>
  <si>
    <t xml:space="preserve">À écarter : coût supérieur à la valeur.</t>
  </si>
  <si>
    <t xml:space="preserve">Classification d'images de mode pour de la recherche visuelle, avec gestion de projet. Vision par ordinateur et fine-tuning, hors du champ ENSAE, sans lien avec vos filières.</t>
  </si>
  <si>
    <t xml:space="preserve">Détection de fraude documentaire par vision par ordinateur et deep learning, sur des données à construire (documents falsifiés artificiellement). Hors programme ENSAE, charge de données et de calcul très élevée.</t>
  </si>
  <si>
    <t xml:space="preserve">Pipeline de dictée vocale de code LaTeX (Whisper, Voxtral, QwenASR). Ingénierie de reconnaissance vocale, sans question statistique, avec des audios à enregistrer et du calcul sur GPU.</t>
  </si>
  <si>
    <t xml:space="preserve">Concevoir et publier chaque semaine une newsletter sur l'actualité de l'IA (veille, scraping, LLM). Le contenu est éditorial et organisationnel, sans question statistique.</t>
  </si>
  <si>
    <t xml:space="preserve">À écarter : aucune valeur scientifique, et la charge s'étale sur toute la durée du projet.</t>
  </si>
  <si>
    <t xml:space="preserve">Mobiliser la datascience pour identifier l'heure d'induction anesthésique à partir de signaux mesurés lors des interventions chir…</t>
  </si>
  <si>
    <t xml:space="preserve">Retrouver l'heure d'induction anesthésique à partir de signaux d'intervention, avec les données de l'entrepôt de santé du CHU de Lille. Contenu de séries temporelles correct, mais accès à des données de santé sensibles à confirmer et livrable non montrable. Fiche brève.</t>
  </si>
  <si>
    <t xml:space="preserve">À écarter : hors de vos filières et avec un risque d'accès aux données élevé.</t>
  </si>
  <si>
    <t xml:space="preserve">N3</t>
  </si>
  <si>
    <t xml:space="preserve">Coût supérieur à la valeur</t>
  </si>
  <si>
    <t xml:space="preserve">Nowcasting hiérarchique de la consommation des ménages espagnols : réconciliation temporelle et transversale (MinT), modèles à facteurs à fréquences mixtes, données alternatives de QuantCube. Très riche, avec une vraie question de recherche, mais niveau élevé et encadrement par une jeune entreprise.</t>
  </si>
  <si>
    <t xml:space="preserve">Coût supérieur à la valeur pour vos objectifs : la réconciliation croisée est avancée, les données de QuantCube sont propriétaires et le niveau est élevé. À ne choisir que par goût de la prévision macro, avec un périmètre fortement réduit.</t>
  </si>
  <si>
    <t xml:space="preserve">Règles de classement et définitions</t>
  </si>
  <si>
    <t xml:space="preserve">Règle (appliquée dans cet ordre : N2, N3, H1, H2, H3, M2, M1, M3, N1)</t>
  </si>
  <si>
    <t xml:space="preserve">Nb de sujets</t>
  </si>
  <si>
    <t xml:space="preserve">Fit ≥ 4, Signal ≥ 3,4, Exit ≥ 3,2, Risque ≤ 3,2, données (D3) ≤ 4, calibrage (D5) &lt; 4, adéquation 2A (D4) ≥ 3.</t>
  </si>
  <si>
    <t xml:space="preserve">Fort potentiel (Fit ≥ 4 avec Signal ≥ 3,4 ou Apprentissage ≥ 4 ; ou Signal ≥ 4 et Apprentissage ≥ 4 avec Fit ≥ 3) mais ne remplit pas H1 : risque, données, niveau ou adéquation 2A. Inclut les sujets à fort fit dont seul un blocage pèse, s'ils ont aussi Signal ≥ 3,4 ou Apprentissage ≥ 4 ; sinon ils vont en M2.</t>
  </si>
  <si>
    <t xml:space="preserve">Fit ≥ 3, Signal ≥ 3,4, Exit ≥ 3,2, Note ≥ 3,5, Risque ≤ 2,6 : bon fit, bonne note probable, effort modéré.</t>
  </si>
  <si>
    <t xml:space="preserve">Signal ≥ 3,6 avec Fit = 3 : bon signal, adéquation partielle.</t>
  </si>
  <si>
    <t xml:space="preserve">Fit ≥ 4 et Signal &lt; 3,4 (bon fit, marque ou encadrant limités).</t>
  </si>
  <si>
    <t xml:space="preserve">Compétences portables (A8 ≥ 3), Risque &lt; 3,3, Signal ≥ 2,8, Apprentissage ≥ 3, et Fit ≥ 3 ou Apprentissage ≥ 3,5 : plan B pour compléter les 12 vœux.</t>
  </si>
  <si>
    <t xml:space="preserve">Tout le reste, sans blocage : peu ou pas de lien avec les voies visées, et peu d'apprentissage ou de signal pour compenser.</t>
  </si>
  <si>
    <t xml:space="preserve">Blocage (note ENSAE 1, ou données D3, calibrage D5 ou risque d'exécution F5 au maximum) ou Risque ≥ 3,5, sans fort fit (≥ 4) qui le compense.</t>
  </si>
  <si>
    <t xml:space="preserve">Risque ≥ 3,3 avec Fit ≤ 3 et Signal &lt; 3,6 : l'effort dépasse ce que le sujet rapporte.</t>
  </si>
  <si>
    <t xml:space="preserve">Total</t>
  </si>
  <si>
    <t xml:space="preserve">Définitions des familles (feuille Scoring)</t>
  </si>
  <si>
    <t xml:space="preserve">Meilleure adéquation à l'une des sept voies de carrière : maximum de A1 à A7. Un seul bon fit suffit, la moyenne pénaliserait les sujets spécialisés. A8 (compétences portables) est lu à part.</t>
  </si>
  <si>
    <t xml:space="preserve">Moyenne de B1 à B5 : marque, encadrant, lisibilité, signal académique.</t>
  </si>
  <si>
    <t xml:space="preserve">Moyenne de C1 à C4 : débouché, réseau, portée internationale, valeur en entretien.</t>
  </si>
  <si>
    <t xml:space="preserve">Moyenne de D1, D2, D4 et D6 : note ENSAE (3 par défaut si non noté), clarté du cahier des charges, adéquation au programme de 2A, encadrement. D3 et D5 sont dans le risque.</t>
  </si>
  <si>
    <t xml:space="preserve">Moyenne de E1 à E4 : profondeur, nouveauté des méthodes, livrable montrable, différenciation.</t>
  </si>
  <si>
    <t xml:space="preserve">Moyenne de D3, D5 et F1 à F7 (F4 inclus dès que KC le renseigne). Plus haut = plus risqué ou coûteux. F8 (probabilité d'obtenir le sujet) est lu à part sous « Demande ».</t>
  </si>
  <si>
    <t xml:space="preserve">Moyenne simple de Fit, Signal, Exit, Note, Apprentissage et (6 − Risque). Aucune pondération entre familles. Sert uniquement à ordonner les sujets au sein d'une sous-catégorie.</t>
  </si>
  <si>
    <t xml:space="preserve">Non utilisés</t>
  </si>
  <si>
    <t xml:space="preserve">A9 (motivation) et F4 (calendrier) sont à renseigner par KC. Ils ne sont pas dans l'indice tant qu'ils sont vides ; F4 entre dans le risque dès qu'il est rempli.</t>
  </si>
  <si>
    <t xml:space="preserve">Sources de la recherche web (WebSearch, mode standard) : organismes et encadrants</t>
  </si>
  <si>
    <t xml:space="preserve">Scores 1 à 5 selon les ancres de « Critères ». Confiance : Haute = plusieurs sources concordantes ; Moyenne = source unique ou information partielle ; Faible = rien de vérifiable, valeur par défaut. Les offres d'emploi et les pages d'organismes sont des indices, pas des preuves de recrutement.</t>
  </si>
  <si>
    <t xml:space="preserve">B1 Notoriété</t>
  </si>
  <si>
    <t xml:space="preserve">B2 Pertinence marque</t>
  </si>
  <si>
    <t xml:space="preserve">C1 Débouché</t>
  </si>
  <si>
    <t xml:space="preserve">C2 Réseau</t>
  </si>
  <si>
    <t xml:space="preserve">C3 International</t>
  </si>
  <si>
    <t xml:space="preserve">D6 Encadrement</t>
  </si>
  <si>
    <t xml:space="preserve">Ce qui a été trouvé</t>
  </si>
  <si>
    <t xml:space="preserve">Source</t>
  </si>
  <si>
    <t xml:space="preserve">DGSEI : études, statistiques ; stages économie/statistique à Paris</t>
  </si>
  <si>
    <t xml:space="preserve">https://www.jobteaser.com/da/job-offers/0d850949-b970-4c67-b803-5c85fcf10a2d-banque-de-france-stage-analyste-de-donnees-monetaires-h-f</t>
  </si>
  <si>
    <t xml:space="preserve">Stages actuariat (Paris, Milan, Turquie) ; Datalab ; témoignage d'un ENSAE data scientist</t>
  </si>
  <si>
    <t xml:space="preserve">https://group.bnpparibas/en/careers/job-offer/actuarial-intern ; https://www.ensae.fr/index.php/en/testimonials/boris-noumedem-data-scientist-bnp-paribas-cardif</t>
  </si>
  <si>
    <t xml:space="preserve">Groupe bancaire, non recherché</t>
  </si>
  <si>
    <t xml:space="preserve">Aucune source consultée : valeur par défaut</t>
  </si>
  <si>
    <t xml:space="preserve">Développeur solaire de 2008, 21-50 salariés, projets en Europe et Afrique</t>
  </si>
  <si>
    <t xml:space="preserve">https://www.enfsolar.com/canopy-energies</t>
  </si>
  <si>
    <t xml:space="preserve">Hôpital universitaire, non recherché</t>
  </si>
  <si>
    <t xml:space="preserve">Laboratoire commun ENSAE / École polytechnique / CNRS ; plusieurs ERC</t>
  </si>
  <si>
    <t xml:space="preserve">https://crest.science/user/Bruno-CREPON ; https://www.ensae.fr/faculty/4685-patrick-prag ; https://crest.science/user/Samuel-RUFAT</t>
  </si>
  <si>
    <t xml:space="preserve">Grande banque, non recherchée</t>
  </si>
  <si>
    <t xml:space="preserve">Conseil et ESN, non recherché</t>
  </si>
  <si>
    <t xml:space="preserve">Direction économique de l'État ; recrutements via Passerelles ; stage non confirmé</t>
  </si>
  <si>
    <t xml:space="preserve">https://www.passerelles.economie.gouv.fr/offre-de-emploi/emploi-dgt-aft-eb-economiste-adjoint-e-au-responsable-du-pole-analyse-macro-economique-h-f_22960.aspx</t>
  </si>
  <si>
    <t xml:space="preserve">Service statistique des ministères sociaux, non recherché</t>
  </si>
  <si>
    <t xml:space="preserve">Cabinet de conseil data/IA parisien, créé par un ancien Chief Data &amp; AI Officer</t>
  </si>
  <si>
    <t xml:space="preserve">Ecole Nationale des Ponts et Chaussées</t>
  </si>
  <si>
    <t xml:space="preserve">École d'ingénieurs, non recherchée</t>
  </si>
  <si>
    <t xml:space="preserve">R&amp;D d'un énergéticien, non recherché</t>
  </si>
  <si>
    <t xml:space="preserve">Bureaux Paris, Londres, New York, Hong Kong ; ~400 data scientists ; recrute</t>
  </si>
  <si>
    <t xml:space="preserve">https://jobs.lever.co/ekimetrics/800784fb-9e87-4f63-a80f-3c224711b1aa</t>
  </si>
  <si>
    <t xml:space="preserve">Cabinet de conseil en stratégie parisien de 2008, ~100 personnes, data science/IA</t>
  </si>
  <si>
    <t xml:space="preserve">https://pitchbook.com/profiles/advisor/166606-12</t>
  </si>
  <si>
    <t xml:space="preserve">Énergéticien, non recherché</t>
  </si>
  <si>
    <t xml:space="preserve">EURO-INFORMATION DEVELOPPEMENTS</t>
  </si>
  <si>
    <t xml:space="preserve">Filiale informatique du Crédit Mutuel, ~4 000 personnes, Cognitive Factory (NLP)</t>
  </si>
  <si>
    <t xml:space="preserve">https://www.mondedesgrandesecoles.fr/euro-information-la-technologie-au-service-de-lhumain/</t>
  </si>
  <si>
    <t xml:space="preserve">Institut universitaire européen (Florence), non recherché</t>
  </si>
  <si>
    <t xml:space="preserve">Ingénierie GNL, non recherché</t>
  </si>
  <si>
    <t xml:space="preserve">Réseau dans 23 pays ; stages Paris (opérations clients) et New York (quant) ; Zurich non trouvé</t>
  </si>
  <si>
    <t xml:space="preserve">https://apply.careers.hsbc.com/job/London-Quantitative-Analyst%2C-Asset-Management-E14-5HQ/1361015157/ ; https://www.iagora.com/work/en/internships/at-HSBC-8555</t>
  </si>
  <si>
    <t xml:space="preserve">Principal institut de démographie en France</t>
  </si>
  <si>
    <t xml:space="preserve">Recherche publique, non recherchée</t>
  </si>
  <si>
    <t xml:space="preserve">Institut de recherche en numérique, non recherché</t>
  </si>
  <si>
    <t xml:space="preserve">Institut statistique national, non recherché</t>
  </si>
  <si>
    <t xml:space="preserve">Aucune trace web trouvée</t>
  </si>
  <si>
    <t xml:space="preserve">Société de gestion du groupe Lazard ; approche quantitative revendiquée</t>
  </si>
  <si>
    <t xml:space="preserve">Banque de détail, non recherchée</t>
  </si>
  <si>
    <t xml:space="preserve">Assureur auto jeunes conducteurs, adossé à Ornikar (2,5 M de clients)</t>
  </si>
  <si>
    <t xml:space="preserve">https://www.maddyness.com/2022/07/06/ornikar-assurance/</t>
  </si>
  <si>
    <t xml:space="preserve">Paris 1</t>
  </si>
  <si>
    <t xml:space="preserve">Université Paris 1 Panthéon-Sorbonne</t>
  </si>
  <si>
    <t xml:space="preserve">Zug ; équipe Quantitative &amp; Risk Management (Python) ; Financial Analyst Program ; 23 bureaux</t>
  </si>
  <si>
    <t xml:space="preserve">https://jobs.partnersgroup.com/job/Baar-Quantitative-&amp;-Risk-Management/1240302901 ; https://jobs.partnersgroup.com/job/Baar-Financial-Analyst-Program-%28Europe-Zug%2C-Switzerland%29/1235819701</t>
  </si>
  <si>
    <t xml:space="preserve">Start-up parisienne de 2013, nowcasting macro par données alternatives ; levée de 4 M EUR en 2022</t>
  </si>
  <si>
    <t xml:space="preserve">https://www.preqin.com/data/profile/asset/quantcube-technology/280583 ; https://www.lemondedudroit.fr/deals/58077-velvet-avocats-assiste-quantcube-technology-levee-fonds.html</t>
  </si>
  <si>
    <t xml:space="preserve">RITM</t>
  </si>
  <si>
    <t xml:space="preserve">Laboratoire d'économie de Paris-Saclay</t>
  </si>
  <si>
    <t xml:space="preserve">https://www.ritm.universite-paris-saclay.fr/?p=12128</t>
  </si>
  <si>
    <t xml:space="preserve">Gestionnaire du réseau électrique, non recherché</t>
  </si>
  <si>
    <t xml:space="preserve">Sans entreprise</t>
  </si>
  <si>
    <t xml:space="preserve">Application non liée à une entreprise</t>
  </si>
  <si>
    <t xml:space="preserve">5e réassureur mondial ; programmes trainee à Zurich (P&amp;C pricing, Risk Capital, Risk Modelling)</t>
  </si>
  <si>
    <t xml:space="preserve">https://www.jobup.ch/en/jobs/detail/02139db9-44b2-405d-bf48-8ca73d0ebae2 ; https://jobup.ch/en/jobs/detail/45115c03-62f6-40ce-b445-c01fc56ae2bc</t>
  </si>
  <si>
    <t xml:space="preserve">31 bureaux, 18 pays (dont New York) ; pratique actuariat et assurance ; Zurich non trouvé</t>
  </si>
  <si>
    <t xml:space="preserve">https://smartrecruiters.com/SiaPartners/744000030081207 ; https://builtin.com/job/consultant-actuarial-sciences/3506541</t>
  </si>
  <si>
    <t xml:space="preserve">Siège à Genève, bureaux Zurich/Paris/Londres, 160 salariés, 5 Md USD investis en pays émergents</t>
  </si>
  <si>
    <t xml:space="preserve">https://www.jobup.ch/fr/societes/55579-symbiotics-sa ; et la fiche du sujet 365 (siège à Genève, bureaux à Zurich, 1,8 Md USD d'actifs)</t>
  </si>
  <si>
    <t xml:space="preserve">Défense et électronique, non recherché</t>
  </si>
  <si>
    <t xml:space="preserve">Société de gestion systématique de 2015, ~600 M EUR fin 2018, Eric Sturdza (Suisse) à 25 %</t>
  </si>
  <si>
    <t xml:space="preserve">https://www.optionfinance.fr/actualites/loffre-de-gestion-de-via-am-seduit-les-investisseurs.html</t>
  </si>
  <si>
    <t xml:space="preserve">Santé connectée ; Issy-les-Moulineaux, Boston, Hong Kong, Shenzhen</t>
  </si>
  <si>
    <t xml:space="preserve">https://www.withings.com/uk/en/careers</t>
  </si>
  <si>
    <t xml:space="preserve">Organisation intergouvernementale (Paris) ; stages et postes au siège, travail en anglais</t>
  </si>
  <si>
    <t xml:space="preserve">https://www.woah.org/en/job-offer/internship-mapping-and-assessing-dataset-for-rapid-risk-assessment-in-animal-health-emergencies-epidemic-intelligence-data-integration-department-woah-hq-paris-france/</t>
  </si>
  <si>
    <t xml:space="preserve">Note : C3 gagne 1 point (plafond 5) quand la fiche est en anglais. D6 vaut 4 pour les encadrants membres de l'ENSAE ou du CREST (historique d'encadrement d'élèves), 3 sinon.</t>
  </si>
  <si>
    <t xml:space="preserve">Encadrant</t>
  </si>
  <si>
    <t xml:space="preserve">B3 Réputation</t>
  </si>
  <si>
    <t xml:space="preserve">Professeur ENSAE, co-chaire J-PAL emploi, publications QJE/JPE/AEJ</t>
  </si>
  <si>
    <t xml:space="preserve">https://crest.science/user/Bruno-CREPON</t>
  </si>
  <si>
    <t xml:space="preserve">Professeur Paris 1 et ENSAE ; 37 articles (JPubE, EER, RAND)</t>
  </si>
  <si>
    <t xml:space="preserve">https://www.ensae.fr/faculty/910-robert-gary-bobo</t>
  </si>
  <si>
    <t xml:space="preserve">Directeur de recherche CNRS, CREST, éditeur de la Revue économique</t>
  </si>
  <si>
    <t xml:space="preserve">https://www.ensae.fr/faculty/543-thierry-kamionka</t>
  </si>
  <si>
    <t xml:space="preserve">Professeur associé de sociologie quantitative CREST/ENSAE, Nuffield College</t>
  </si>
  <si>
    <t xml:space="preserve">https://www.ensae.fr/faculty/4685-patrick-prag</t>
  </si>
  <si>
    <t xml:space="preserve">Professeur EDHEC, éditeur associé de Review of Finance, Management Science</t>
  </si>
  <si>
    <t xml:space="preserve">https://researchportal.ip-paris.fr/en/persons/olivier-david-zerbib/</t>
  </si>
  <si>
    <t xml:space="preserve">Professeure assistante CREST, PhD PSE 2021, ex-Amsterdam</t>
  </si>
  <si>
    <t xml:space="preserve">https://www.polytechnique-insights.com/en/contributors/sara-signorelli/</t>
  </si>
  <si>
    <t xml:space="preserve">Membre du CREST, ERC Consolidator Grant FiBeGa</t>
  </si>
  <si>
    <t xml:space="preserve">https://crest.science/user/Samuel-RUFAT</t>
  </si>
  <si>
    <t xml:space="preserve">CIC 14-18 HEGP (AP-HP), publications en modèles multi-états</t>
  </si>
  <si>
    <t xml:space="preserve">https://dblp.org/pid/166/7913</t>
  </si>
  <si>
    <t xml:space="preserve">Responsable du département Data Integration &amp; Analytics au WOAH ; ex-DTU, ex-VP biostat IPRI</t>
  </si>
  <si>
    <t xml:space="preserve">https://fr.linkedin.com/in/gguil</t>
  </si>
  <si>
    <t xml:space="preserve">Professeure d'économie Paris-Saclay (2024), ENSAE, ANR</t>
  </si>
  <si>
    <t xml:space="preserve">Chargée de recherche INRAE, publications en choix modal et mobilité</t>
  </si>
  <si>
    <t xml:space="preserve">https://www2.dijon.inrae.fr/cesaer/?p=7258</t>
  </si>
  <si>
    <t xml:space="preserve">Non trouvé</t>
  </si>
  <si>
    <t xml:space="preserve">Aucune source trouvée</t>
  </si>
  <si>
    <t xml:space="preserve">Les autres encadrants (praticiens en entreprise ou administration) n'ont rien donné de vérifiable : B3 = 3 par défaut, confiance Faible.</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</si>
</sst>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General"/>
  </numFmts>
  <fonts count="14">
    <font>
      <sz val="10"/>
      <color rgb="FF000000"/>
      <name val="Arial"/>
      <family val="0"/>
      <charset val="1"/>
    </font>
    <font>
      <sz val="10"/>
      <name val="Arial"/>
      <family val="0"/>
    </font>
    <font>
      <sz val="10"/>
      <name val="Arial"/>
      <family val="0"/>
    </font>
    <font>
      <sz val="10"/>
      <name val="Arial"/>
      <family val="0"/>
    </font>
    <font>
      <b val="true"/>
      <sz val="14"/>
      <color rgb="FF1F3864"/>
      <name val="Arial"/>
      <family val="0"/>
      <charset val="1"/>
    </font>
    <font>
      <b val="true"/>
      <sz val="11"/>
      <color rgb="FF1F3864"/>
      <name val="Arial"/>
      <family val="0"/>
      <charset val="1"/>
    </font>
    <font>
      <sz val="10"/>
      <name val="Arial"/>
      <family val="0"/>
      <charset val="1"/>
    </font>
    <font>
      <i val="true"/>
      <sz val="9"/>
      <name val="Arial"/>
      <family val="0"/>
      <charset val="1"/>
    </font>
    <font>
      <b val="true"/>
      <sz val="10"/>
      <color rgb="FFFFFFFF"/>
      <name val="Arial"/>
      <family val="0"/>
      <charset val="1"/>
    </font>
    <font>
      <sz val="9"/>
      <name val="Arial"/>
      <family val="0"/>
      <charset val="1"/>
    </font>
    <font>
      <b val="true"/>
      <sz val="9"/>
      <name val="Arial"/>
      <family val="0"/>
      <charset val="1"/>
    </font>
    <font>
      <u val="single"/>
      <sz val="9"/>
      <color rgb="FF0563C1"/>
      <name val="Arial"/>
      <family val="0"/>
      <charset val="1"/>
    </font>
    <font>
      <b val="true"/>
      <sz val="9"/>
      <color rgb="FF1F3864"/>
      <name val="Arial"/>
      <family val="0"/>
      <charset val="1"/>
    </font>
    <font>
      <i val="true"/>
      <sz val="9"/>
      <color rgb="FF7F7F7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D9E1F2"/>
        <bgColor rgb="FFEDEDED"/>
      </patternFill>
    </fill>
    <fill>
      <patternFill patternType="solid">
        <fgColor rgb="FFEDEDED"/>
        <bgColor rgb="FFD9E1F2"/>
      </patternFill>
    </fill>
    <fill>
      <patternFill patternType="solid">
        <fgColor rgb="FFC6EFCE"/>
        <bgColor rgb="FFD9E1F2"/>
      </patternFill>
    </fill>
    <fill>
      <patternFill patternType="solid">
        <fgColor rgb="FFFFEB9C"/>
        <bgColor rgb="FFFFF2CC"/>
      </patternFill>
    </fill>
    <fill>
      <patternFill patternType="solid">
        <fgColor rgb="FFFFC7CE"/>
        <bgColor rgb="FFD9E1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10"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4">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563C1"/>
          <bgColor rgb="FF000000"/>
        </patternFill>
      </fill>
    </dxf>
    <dxf>
      <fill>
        <patternFill>
          <bgColor rgb="FFC6EFCE"/>
        </patternFill>
      </fill>
    </dxf>
    <dxf>
      <fill>
        <patternFill>
          <bgColor rgb="FFFFEB9C"/>
        </patternFill>
      </fill>
    </dxf>
    <dxf>
      <fill>
        <patternFill>
          <bgColor rgb="FFFFC7CE"/>
        </patternFill>
      </fill>
    </dxf>
    <dxf>
      <fill>
        <patternFill patternType="solid">
          <fgColor rgb="FFC6E0B4"/>
          <bgColor rgb="FF000000"/>
        </patternFill>
      </fill>
    </dxf>
    <dxf>
      <fill>
        <patternFill patternType="solid">
          <fgColor rgb="FFE3F0DA"/>
          <bgColor rgb="FF000000"/>
        </patternFill>
      </fill>
    </dxf>
    <dxf>
      <fill>
        <patternFill patternType="solid">
          <fgColor rgb="FFF8CBAD"/>
          <bgColor rgb="FF000000"/>
        </patternFill>
      </fill>
    </dxf>
    <dxf>
      <fill>
        <patternFill patternType="solid">
          <fgColor rgb="FFFBE5D6"/>
          <bgColor rgb="FF000000"/>
        </patternFill>
      </fill>
    </dxf>
    <dxf>
      <fill>
        <patternFill patternType="solid">
          <fgColor rgb="FF7F7F7F"/>
          <bgColor rgb="FF000000"/>
        </patternFill>
      </fill>
    </dxf>
    <dxf>
      <fill>
        <patternFill patternType="solid">
          <fgColor rgb="FFE2EFD9"/>
          <bgColor rgb="FF000000"/>
        </patternFill>
      </fill>
    </dxf>
    <dxf>
      <fill>
        <patternFill patternType="solid">
          <fgColor rgb="FFFCE5D6"/>
          <bgColor rgb="FF000000"/>
        </patternFill>
      </fill>
    </dxf>
    <dxf>
      <fill>
        <patternFill patternType="solid">
          <fgColor rgb="FFDDEDD2"/>
          <bgColor rgb="FF000000"/>
        </patternFill>
      </fill>
    </dxf>
    <dxf>
      <fill>
        <patternFill patternType="solid">
          <fgColor rgb="FFE9F3E2"/>
          <bgColor rgb="FF000000"/>
        </patternFill>
      </fill>
    </dxf>
    <dxf>
      <fill>
        <patternFill patternType="solid">
          <fgColor rgb="FFEEF6E9"/>
          <bgColor rgb="FF000000"/>
        </patternFill>
      </fill>
    </dxf>
    <dxf>
      <fill>
        <patternFill patternType="solid">
          <fgColor rgb="FFF4F9F1"/>
          <bgColor rgb="FF000000"/>
        </patternFill>
      </fill>
    </dxf>
    <dxf>
      <fill>
        <patternFill patternType="solid">
          <fgColor rgb="FFFAFCF8"/>
          <bgColor rgb="FF000000"/>
        </patternFill>
      </fill>
    </dxf>
    <dxf>
      <fill>
        <patternFill patternType="solid">
          <fgColor rgb="FFFCEADE"/>
          <bgColor rgb="FF000000"/>
        </patternFill>
      </fill>
    </dxf>
    <dxf>
      <fill>
        <patternFill patternType="solid">
          <fgColor rgb="FFFCEFE6"/>
          <bgColor rgb="FF000000"/>
        </patternFill>
      </fill>
    </dxf>
    <dxf>
      <fill>
        <patternFill patternType="solid">
          <fgColor rgb="FFFDF4EE"/>
          <bgColor rgb="FF000000"/>
        </patternFill>
      </fill>
    </dxf>
    <dxf>
      <fill>
        <patternFill patternType="solid">
          <fgColor rgb="FFFEF9F6"/>
          <bgColor rgb="FF000000"/>
        </patternFill>
      </fill>
    </dxf>
    <dxf>
      <fill>
        <patternFill patternType="solid">
          <fgColor rgb="FFD5E8C7"/>
          <bgColor rgb="FF000000"/>
        </patternFill>
      </fill>
    </dxf>
    <dxf>
      <fill>
        <patternFill patternType="solid">
          <fgColor rgb="FFDCECD1"/>
          <bgColor rgb="FF000000"/>
        </patternFill>
      </fill>
    </dxf>
    <dxf>
      <fill>
        <patternFill patternType="solid">
          <fgColor rgb="FFEAF4E3"/>
          <bgColor rgb="FF000000"/>
        </patternFill>
      </fill>
    </dxf>
    <dxf>
      <fill>
        <patternFill patternType="solid">
          <fgColor rgb="FFF1F8ED"/>
          <bgColor rgb="FF000000"/>
        </patternFill>
      </fill>
    </dxf>
    <dxf>
      <fill>
        <patternFill patternType="solid">
          <fgColor rgb="FFF8FCF6"/>
          <bgColor rgb="FF000000"/>
        </patternFill>
      </fill>
    </dxf>
    <dxf>
      <fill>
        <patternFill patternType="solid">
          <fgColor rgb="FFF9D8C1"/>
          <bgColor rgb="FF000000"/>
        </patternFill>
      </fill>
    </dxf>
    <dxf>
      <fill>
        <patternFill patternType="solid">
          <fgColor rgb="FFFADECB"/>
          <bgColor rgb="FF000000"/>
        </patternFill>
      </fill>
    </dxf>
    <dxf>
      <fill>
        <patternFill patternType="solid">
          <fgColor rgb="FFFCEBE0"/>
          <bgColor rgb="FF000000"/>
        </patternFill>
      </fill>
    </dxf>
    <dxf>
      <fill>
        <patternFill patternType="solid">
          <fgColor rgb="FFFDF2EA"/>
          <bgColor rgb="FF000000"/>
        </patternFill>
      </fill>
    </dxf>
    <dxf>
      <fill>
        <patternFill patternType="solid">
          <fgColor rgb="FFFEF8F4"/>
          <bgColor rgb="FF000000"/>
        </patternFill>
      </fill>
    </dxf>
    <dxf>
      <fill>
        <patternFill patternType="solid">
          <fgColor rgb="FFCEE4BE"/>
          <bgColor rgb="FF000000"/>
        </patternFill>
      </fill>
    </dxf>
    <dxf>
      <fill>
        <patternFill patternType="solid">
          <fgColor rgb="FFDEEDD4"/>
          <bgColor rgb="FF000000"/>
        </patternFill>
      </fill>
    </dxf>
    <dxf>
      <fill>
        <patternFill patternType="solid">
          <fgColor rgb="FFE6F1DE"/>
          <bgColor rgb="FF000000"/>
        </patternFill>
      </fill>
    </dxf>
    <dxf>
      <fill>
        <patternFill patternType="solid">
          <fgColor rgb="FFEDF5E7"/>
          <bgColor rgb="FF000000"/>
        </patternFill>
      </fill>
    </dxf>
    <dxf>
      <fill>
        <patternFill patternType="solid">
          <fgColor rgb="FFF0F7EC"/>
          <bgColor rgb="FF000000"/>
        </patternFill>
      </fill>
    </dxf>
    <dxf>
      <fill>
        <patternFill patternType="solid">
          <fgColor rgb="FFF4F9F0"/>
          <bgColor rgb="FF000000"/>
        </patternFill>
      </fill>
    </dxf>
    <dxf>
      <fill>
        <patternFill patternType="solid">
          <fgColor rgb="FFF7FBF5"/>
          <bgColor rgb="FF000000"/>
        </patternFill>
      </fill>
    </dxf>
    <dxf>
      <fill>
        <patternFill patternType="solid">
          <fgColor rgb="FFFAD8C2"/>
          <bgColor rgb="FF000000"/>
        </patternFill>
      </fill>
    </dxf>
    <dxf>
      <fill>
        <patternFill patternType="solid">
          <fgColor rgb="FFFBDCC7"/>
          <bgColor rgb="FF000000"/>
        </patternFill>
      </fill>
    </dxf>
    <dxf>
      <fill>
        <patternFill patternType="solid">
          <fgColor rgb="FFFBDFCC"/>
          <bgColor rgb="FF000000"/>
        </patternFill>
      </fill>
    </dxf>
    <dxf>
      <fill>
        <patternFill patternType="solid">
          <fgColor rgb="FFFBFDFA"/>
          <bgColor rgb="FF000000"/>
        </patternFill>
      </fill>
    </dxf>
    <dxf>
      <fill>
        <patternFill patternType="solid">
          <fgColor rgb="FFFCE9DC"/>
          <bgColor rgb="FF000000"/>
        </patternFill>
      </fill>
    </dxf>
    <dxf>
      <fill>
        <patternFill patternType="solid">
          <fgColor rgb="FFFDECE1"/>
          <bgColor rgb="FF000000"/>
        </patternFill>
      </fill>
    </dxf>
    <dxf>
      <fill>
        <patternFill patternType="solid">
          <fgColor rgb="FFFDEFE6"/>
          <bgColor rgb="FF000000"/>
        </patternFill>
      </fill>
    </dxf>
    <dxf>
      <fill>
        <patternFill patternType="solid">
          <fgColor rgb="FFFEF2EB"/>
          <bgColor rgb="FF000000"/>
        </patternFill>
      </fill>
    </dxf>
    <dxf>
      <fill>
        <patternFill patternType="solid">
          <fgColor rgb="FFFEF6F0"/>
          <bgColor rgb="FF000000"/>
        </patternFill>
      </fill>
    </dxf>
    <dxf>
      <fill>
        <patternFill patternType="solid">
          <fgColor rgb="FFFFF9F5"/>
          <bgColor rgb="FF000000"/>
        </patternFill>
      </fill>
    </dxf>
    <dxf>
      <fill>
        <patternFill patternType="solid">
          <fgColor rgb="FFFFFCFA"/>
          <bgColor rgb="FF000000"/>
        </patternFill>
      </fill>
    </dxf>
    <dxf>
      <fill>
        <patternFill patternType="solid">
          <fgColor rgb="FFE7F2DF"/>
          <bgColor rgb="FF000000"/>
        </patternFill>
      </fill>
    </dxf>
    <dxf>
      <fill>
        <patternFill patternType="solid">
          <fgColor rgb="FFE7F2E0"/>
          <bgColor rgb="FF000000"/>
        </patternFill>
      </fill>
    </dxf>
    <dxf>
      <fill>
        <patternFill patternType="solid">
          <fgColor rgb="FFEBF4E4"/>
          <bgColor rgb="FF000000"/>
        </patternFill>
      </fill>
    </dxf>
    <dxf>
      <fill>
        <patternFill patternType="solid">
          <fgColor rgb="FFEBF5E5"/>
          <bgColor rgb="FF000000"/>
        </patternFill>
      </fill>
    </dxf>
    <dxf>
      <fill>
        <patternFill patternType="solid">
          <fgColor rgb="FFECF5E5"/>
          <bgColor rgb="FF000000"/>
        </patternFill>
      </fill>
    </dxf>
    <dxf>
      <fill>
        <patternFill patternType="solid">
          <fgColor rgb="FFECF5E6"/>
          <bgColor rgb="FF000000"/>
        </patternFill>
      </fill>
    </dxf>
    <dxf>
      <fill>
        <patternFill patternType="solid">
          <fgColor rgb="FFEDF6E8"/>
          <bgColor rgb="FF000000"/>
        </patternFill>
      </fill>
    </dxf>
    <dxf>
      <fill>
        <patternFill patternType="solid">
          <fgColor rgb="FFEEF6E8"/>
          <bgColor rgb="FF000000"/>
        </patternFill>
      </fill>
    </dxf>
    <dxf>
      <fill>
        <patternFill patternType="solid">
          <fgColor rgb="FFEFF6E9"/>
          <bgColor rgb="FF000000"/>
        </patternFill>
      </fill>
    </dxf>
    <dxf>
      <fill>
        <patternFill patternType="solid">
          <fgColor rgb="FFEFF7EA"/>
          <bgColor rgb="FF000000"/>
        </patternFill>
      </fill>
    </dxf>
    <dxf>
      <fill>
        <patternFill patternType="solid">
          <fgColor rgb="FFF2F8EE"/>
          <bgColor rgb="FF000000"/>
        </patternFill>
      </fill>
    </dxf>
    <dxf>
      <fill>
        <patternFill patternType="solid">
          <fgColor rgb="FFF3F8EE"/>
          <bgColor rgb="FF000000"/>
        </patternFill>
      </fill>
    </dxf>
    <dxf>
      <fill>
        <patternFill patternType="solid">
          <fgColor rgb="FFF3F9EF"/>
          <bgColor rgb="FF000000"/>
        </patternFill>
      </fill>
    </dxf>
    <dxf>
      <fill>
        <patternFill patternType="solid">
          <fgColor rgb="FFF5FAF1"/>
          <bgColor rgb="FF000000"/>
        </patternFill>
      </fill>
    </dxf>
    <dxf>
      <fill>
        <patternFill patternType="solid">
          <fgColor rgb="FFF6FAF3"/>
          <bgColor rgb="FF000000"/>
        </patternFill>
      </fill>
    </dxf>
    <dxf>
      <fill>
        <patternFill patternType="solid">
          <fgColor rgb="FFF6FBF3"/>
          <bgColor rgb="FF000000"/>
        </patternFill>
      </fill>
    </dxf>
    <dxf>
      <fill>
        <patternFill patternType="solid">
          <fgColor rgb="FFF8FBF6"/>
          <bgColor rgb="FF000000"/>
        </patternFill>
      </fill>
    </dxf>
    <dxf>
      <fill>
        <patternFill patternType="solid">
          <fgColor rgb="FFF9FCF6"/>
          <bgColor rgb="FF000000"/>
        </patternFill>
      </fill>
    </dxf>
    <dxf>
      <fill>
        <patternFill patternType="solid">
          <fgColor rgb="FFF9FCF7"/>
          <bgColor rgb="FF000000"/>
        </patternFill>
      </fill>
    </dxf>
    <dxf>
      <fill>
        <patternFill patternType="solid">
          <fgColor rgb="FFF9FCF8"/>
          <bgColor rgb="FF000000"/>
        </patternFill>
      </fill>
    </dxf>
    <dxf>
      <fill>
        <patternFill patternType="solid">
          <fgColor rgb="FFFAFDF9"/>
          <bgColor rgb="FF000000"/>
        </patternFill>
      </fill>
    </dxf>
    <dxf>
      <fill>
        <patternFill patternType="solid">
          <fgColor rgb="FFFBE6D9"/>
          <bgColor rgb="FF000000"/>
        </patternFill>
      </fill>
    </dxf>
    <dxf>
      <fill>
        <patternFill patternType="solid">
          <fgColor rgb="FFFBFDF9"/>
          <bgColor rgb="FF000000"/>
        </patternFill>
      </fill>
    </dxf>
    <dxf>
      <fill>
        <patternFill patternType="solid">
          <fgColor rgb="FFFCE8DB"/>
          <bgColor rgb="FF000000"/>
        </patternFill>
      </fill>
    </dxf>
    <dxf>
      <fill>
        <patternFill patternType="solid">
          <fgColor rgb="FFFCEDE2"/>
          <bgColor rgb="FF000000"/>
        </patternFill>
      </fill>
    </dxf>
    <dxf>
      <fill>
        <patternFill patternType="solid">
          <fgColor rgb="FFFCEFE7"/>
          <bgColor rgb="FF000000"/>
        </patternFill>
      </fill>
    </dxf>
    <dxf>
      <fill>
        <patternFill patternType="solid">
          <fgColor rgb="FFFDF3EC"/>
          <bgColor rgb="FF000000"/>
        </patternFill>
      </fill>
    </dxf>
    <dxf>
      <fill>
        <patternFill patternType="solid">
          <fgColor rgb="FFFDF6F0"/>
          <bgColor rgb="FF000000"/>
        </patternFill>
      </fill>
    </dxf>
    <dxf>
      <fill>
        <patternFill patternType="solid">
          <fgColor rgb="FFFDF7F2"/>
          <bgColor rgb="FF000000"/>
        </patternFill>
      </fill>
    </dxf>
    <dxf>
      <fill>
        <patternFill patternType="solid">
          <fgColor rgb="FFFDFEFC"/>
          <bgColor rgb="FF000000"/>
        </patternFill>
      </fill>
    </dxf>
    <dxf>
      <fill>
        <patternFill patternType="solid">
          <fgColor rgb="FFFDFEFD"/>
          <bgColor rgb="FF000000"/>
        </patternFill>
      </fill>
    </dxf>
    <dxf>
      <fill>
        <patternFill patternType="solid">
          <fgColor rgb="FFFEF9F5"/>
          <bgColor rgb="FF000000"/>
        </patternFill>
      </fill>
    </dxf>
    <dxf>
      <fill>
        <patternFill patternType="solid">
          <fgColor rgb="FFFEFAF7"/>
          <bgColor rgb="FF000000"/>
        </patternFill>
      </fill>
    </dxf>
    <dxf>
      <fill>
        <patternFill patternType="solid">
          <fgColor rgb="FFFEFBF9"/>
          <bgColor rgb="FF000000"/>
        </patternFill>
      </fill>
    </dxf>
    <dxf>
      <fill>
        <patternFill patternType="solid">
          <fgColor rgb="FFFEFCFA"/>
          <bgColor rgb="FF000000"/>
        </patternFill>
      </fill>
    </dxf>
    <dxf>
      <fill>
        <patternFill patternType="solid">
          <fgColor rgb="FFFEFCFB"/>
          <bgColor rgb="FF000000"/>
        </patternFill>
      </fill>
    </dxf>
    <dxf>
      <fill>
        <patternFill patternType="solid">
          <fgColor rgb="FFFEFDFD"/>
          <bgColor rgb="FF000000"/>
        </patternFill>
      </fill>
    </dxf>
    <dxf>
      <fill>
        <patternFill patternType="solid">
          <fgColor rgb="FFFEFFFD"/>
          <bgColor rgb="FF000000"/>
        </patternFill>
      </fill>
    </dxf>
    <dxf>
      <fill>
        <patternFill patternType="solid">
          <fgColor rgb="FFFEFFF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Docs/Actuariat/HSBC%20Global%20Asset%20Management%20-%20Actuariat.pdf" TargetMode="External"/><Relationship Id="rId2" Type="http://schemas.openxmlformats.org/officeDocument/2006/relationships/hyperlink" Target="Docs/Actuariat/SCOR%20-%20Actuariat.pdf" TargetMode="External"/><Relationship Id="rId3" Type="http://schemas.openxmlformats.org/officeDocument/2006/relationships/hyperlink" Target="Docs/Actuariat/CREST%20ENSAE%20-%20Actuariat.pdf" TargetMode="External"/><Relationship Id="rId4" Type="http://schemas.openxmlformats.org/officeDocument/2006/relationships/hyperlink" Target="Docs/Actuariat/Ekimetrics%20-%20Actuariat.pdf" TargetMode="External"/><Relationship Id="rId5" Type="http://schemas.openxmlformats.org/officeDocument/2006/relationships/hyperlink" Target="Docs/Actuariat/BNP%20Paribas%20Cardif%20-%20Actuariat.pdf" TargetMode="External"/><Relationship Id="rId6" Type="http://schemas.openxmlformats.org/officeDocument/2006/relationships/hyperlink" Target="Docs/Actuariat/KORFED%20SAS%20-%20Actuariat.pdf" TargetMode="External"/><Relationship Id="rId7" Type="http://schemas.openxmlformats.org/officeDocument/2006/relationships/hyperlink" Target="Docs/Autre/HeadMind%20Partners%20-%20Autre.pdf" TargetMode="External"/><Relationship Id="rId8" Type="http://schemas.openxmlformats.org/officeDocument/2006/relationships/hyperlink" Target="Docs/Autre/Soci&#233;t&#233;%20G&#233;n&#233;rale%20-%20Autre.pdf" TargetMode="External"/><Relationship Id="rId9" Type="http://schemas.openxmlformats.org/officeDocument/2006/relationships/hyperlink" Target="Docs/Autre/Ekimetrics%20-%20Autre.pdf" TargetMode="External"/><Relationship Id="rId10" Type="http://schemas.openxmlformats.org/officeDocument/2006/relationships/hyperlink" Target="Docs/Environnement%20Energie%20et%20Mobilit&#233;/RTE%20-%20Environnement.pdf" TargetMode="External"/><Relationship Id="rId11" Type="http://schemas.openxmlformats.org/officeDocument/2006/relationships/hyperlink" Target="Docs/Environnement%20Energie%20et%20Mobilit&#233;/GazTransport%20et%20Technigaz%20-%20Environnement.pdf" TargetMode="External"/><Relationship Id="rId12" Type="http://schemas.openxmlformats.org/officeDocument/2006/relationships/hyperlink" Target="Docs/Environnement%20Energie%20et%20Mobilit&#233;/CREST%20-%20Disaster%20risk%20-%20Environnement.pdf" TargetMode="External"/><Relationship Id="rId13" Type="http://schemas.openxmlformats.org/officeDocument/2006/relationships/hyperlink" Target="Docs/Environnement%20Energie%20et%20Mobilit&#233;/INRAE%20-%20Environnement.pdf" TargetMode="External"/><Relationship Id="rId14" Type="http://schemas.openxmlformats.org/officeDocument/2006/relationships/hyperlink" Target="Docs/Environnement%20Energie%20et%20Mobilit&#233;/CREST%20-%20Environnement.pdf" TargetMode="External"/><Relationship Id="rId15" Type="http://schemas.openxmlformats.org/officeDocument/2006/relationships/hyperlink" Target="Docs/Environnement%20Energie%20et%20Mobilit&#233;/INRAE%20-%20homo%20-%20Environnement.pdf" TargetMode="External"/><Relationship Id="rId16" Type="http://schemas.openxmlformats.org/officeDocument/2006/relationships/hyperlink" Target="Docs/Environnement%20Energie%20et%20Mobilit&#233;/Ecole%20Nationale%20des%20Ponts%20et%20Chauss&#233;es%20-%20Environnement.pdf" TargetMode="External"/><Relationship Id="rId17" Type="http://schemas.openxmlformats.org/officeDocument/2006/relationships/hyperlink" Target="Docs/Environnement%20Energie%20et%20Mobilit&#233;/CREST-%20Olivier%20-%20Environnement.pdf" TargetMode="External"/><Relationship Id="rId18" Type="http://schemas.openxmlformats.org/officeDocument/2006/relationships/hyperlink" Target="Docs/Environnement%20Energie%20et%20Mobilit&#233;/EDF%20R&amp;D%20-%20Environnement.pdf" TargetMode="External"/><Relationship Id="rId19" Type="http://schemas.openxmlformats.org/officeDocument/2006/relationships/hyperlink" Target="Docs/Environnement%20Energie%20et%20Mobilit&#233;/CANOPY%20ENERGIES%20-%20Environnement.pdf" TargetMode="External"/><Relationship Id="rId20" Type="http://schemas.openxmlformats.org/officeDocument/2006/relationships/hyperlink" Target="Docs/Finance/HSBC%20Global%20Asset%20Management%20-%20%20-%20Finance.pdf" TargetMode="External"/><Relationship Id="rId21" Type="http://schemas.openxmlformats.org/officeDocument/2006/relationships/hyperlink" Target="Docs/Finance/Partners%20Group%20-%20Finance.pdf" TargetMode="External"/><Relationship Id="rId22" Type="http://schemas.openxmlformats.org/officeDocument/2006/relationships/hyperlink" Target="Docs/Finance/Banque%20de%20France%20-%20Finance.pdf" TargetMode="External"/><Relationship Id="rId23" Type="http://schemas.openxmlformats.org/officeDocument/2006/relationships/hyperlink" Target="Docs/Finance/Symbiotics%20Asset%20Management%20-%20Yield%20curve%20-%20Finance.pdf" TargetMode="External"/><Relationship Id="rId24" Type="http://schemas.openxmlformats.org/officeDocument/2006/relationships/hyperlink" Target="Docs/Finance/Symbiotics%20Asset%20Management%20-%20Risk%20simplifying%20-%20Finance.pdf" TargetMode="External"/><Relationship Id="rId25" Type="http://schemas.openxmlformats.org/officeDocument/2006/relationships/hyperlink" Target="Docs/Finance/Soci&#233;t&#233;%20G&#233;n&#233;rale%20-%20Finance.pdf" TargetMode="External"/><Relationship Id="rId26" Type="http://schemas.openxmlformats.org/officeDocument/2006/relationships/hyperlink" Target="Docs/Finance/Ornikar%20Assurance%20-%20Finance.pdf" TargetMode="External"/><Relationship Id="rId27" Type="http://schemas.openxmlformats.org/officeDocument/2006/relationships/hyperlink" Target="Docs/Finance/VIA%20AM%20-%20Finance.pdf" TargetMode="External"/><Relationship Id="rId28" Type="http://schemas.openxmlformats.org/officeDocument/2006/relationships/hyperlink" Target="Docs/Finance/HSBC%20Global%20Asset%20Management%20-%20Finance.pdf" TargetMode="External"/><Relationship Id="rId29" Type="http://schemas.openxmlformats.org/officeDocument/2006/relationships/hyperlink" Target="Docs/Finance/Symbiotics%20Asset%20Management%20-%20Stats%20Modelling%20-%20Finance.pdf" TargetMode="External"/><Relationship Id="rId30" Type="http://schemas.openxmlformats.org/officeDocument/2006/relationships/hyperlink" Target="Docs/Finance/Symbiotics%20Asset%20Management%20-%20Finance.pdf" TargetMode="External"/><Relationship Id="rId31" Type="http://schemas.openxmlformats.org/officeDocument/2006/relationships/hyperlink" Target="Docs/Finance/BPCE%20SA%20-%20Finance.pdf" TargetMode="External"/><Relationship Id="rId32" Type="http://schemas.openxmlformats.org/officeDocument/2006/relationships/hyperlink" Target="Docs/Macroeconomie/DG%20Tr&#233;sor%20-%20Macro.pdf" TargetMode="External"/><Relationship Id="rId33" Type="http://schemas.openxmlformats.org/officeDocument/2006/relationships/hyperlink" Target="Docs/Macroeconomie/DG%20Tr&#233;sor%20-%20Viellissement%20-%20Macro.pdf" TargetMode="External"/><Relationship Id="rId34" Type="http://schemas.openxmlformats.org/officeDocument/2006/relationships/hyperlink" Target="Docs/Macroeconomie/QuantCube%20Technology%20-%20Nowcasting%20-Macro.pdf" TargetMode="External"/><Relationship Id="rId35" Type="http://schemas.openxmlformats.org/officeDocument/2006/relationships/hyperlink" Target="Docs/Macroeconomie/QuantCube%20Technology%20-%20Macro.pdf" TargetMode="External"/><Relationship Id="rId36" Type="http://schemas.openxmlformats.org/officeDocument/2006/relationships/hyperlink" Target="Docs/Macroeconomie/European%20University%20Institute%20-%20Macro.pdf" TargetMode="External"/><Relationship Id="rId37" Type="http://schemas.openxmlformats.org/officeDocument/2006/relationships/hyperlink" Target="Docs/Macroeconomie/Banque%20de%20France%20-%20Macro.pdf" TargetMode="External"/><Relationship Id="rId38" Type="http://schemas.openxmlformats.org/officeDocument/2006/relationships/hyperlink" Target="Docs/Macroeconomie/Lazard%20Fr&#232;res%20-%20Macro.pdf" TargetMode="External"/><Relationship Id="rId39" Type="http://schemas.openxmlformats.org/officeDocument/2006/relationships/hyperlink" Target="Docs/Marketing%20Quantitatif/Withings%20SAS%20-%20Marketing%20Quantitatif.pdf" TargetMode="External"/><Relationship Id="rId40" Type="http://schemas.openxmlformats.org/officeDocument/2006/relationships/hyperlink" Target="Docs/Marketing%20Quantitatif/Ekimetrics%20-%20Marketing%20Quantitatif.pdf" TargetMode="External"/><Relationship Id="rId41" Type="http://schemas.openxmlformats.org/officeDocument/2006/relationships/hyperlink" Target="Docs/Marketing%20Quantitatif/Sia%20Partners%20-%20Marketing%20Quantitatif.pdf" TargetMode="External"/><Relationship Id="rId42" Type="http://schemas.openxmlformats.org/officeDocument/2006/relationships/hyperlink" Target="Docs/Micro&#233;conomie%20Appliqu&#233;e/World%20Organisation%20for%20Animal%20Health%20(WOAH)%20-%20Micro.pdf" TargetMode="External"/><Relationship Id="rId43" Type="http://schemas.openxmlformats.org/officeDocument/2006/relationships/hyperlink" Target="Docs/Micro&#233;conomie%20Appliqu&#233;e/CREST%20UMR%209194-%20Elections%20-%20Micro.pdf" TargetMode="External"/><Relationship Id="rId44" Type="http://schemas.openxmlformats.org/officeDocument/2006/relationships/hyperlink" Target="Docs/Micro&#233;conomie%20Appliqu&#233;e/CREST%20UMR%209194%20-%20Micro.pdf" TargetMode="External"/><Relationship Id="rId45" Type="http://schemas.openxmlformats.org/officeDocument/2006/relationships/hyperlink" Target="Docs/Micro&#233;conomie%20Appliqu&#233;e/CREST%20et%20Universit&#233;%20Paris%201%20Panth&#233;on-Sorbonne%20-%20Micro.pdf" TargetMode="External"/><Relationship Id="rId46" Type="http://schemas.openxmlformats.org/officeDocument/2006/relationships/hyperlink" Target="Docs/Micro&#233;conomie%20Appliqu&#233;e/CREST%20et%20Universit&#233;%20Paris%201%20Panth&#233;on-Sorbonne%20-%20-%20Micro.pdf" TargetMode="External"/><Relationship Id="rId47" Type="http://schemas.openxmlformats.org/officeDocument/2006/relationships/hyperlink" Target="Docs/Micro&#233;conomie%20Appliqu&#233;e/CREST-%20Micro.pdf" TargetMode="External"/><Relationship Id="rId48" Type="http://schemas.openxmlformats.org/officeDocument/2006/relationships/hyperlink" Target="Docs/Micro&#233;conomie%20Appliqu&#233;e/RITM%20-%20Facult&#233;%20Jean%20Monnet%20-%20Universit&#233;%20Paris-Saclay%20-%20Micro.pdf" TargetMode="External"/><Relationship Id="rId49" Type="http://schemas.openxmlformats.org/officeDocument/2006/relationships/hyperlink" Target="Docs/Micro&#233;conomie%20Appliqu&#233;e/Drees%20-%20Micro.pdf" TargetMode="External"/><Relationship Id="rId50" Type="http://schemas.openxmlformats.org/officeDocument/2006/relationships/hyperlink" Target="Docs/Micro&#233;conomie%20Appliqu&#233;e/CREST%20-%20Unpacking%20-%20Micro.pdf" TargetMode="External"/><Relationship Id="rId51" Type="http://schemas.openxmlformats.org/officeDocument/2006/relationships/hyperlink" Target="Docs/NLP/HeadMind%20Partners%20-%20NLP.pdf" TargetMode="External"/><Relationship Id="rId52" Type="http://schemas.openxmlformats.org/officeDocument/2006/relationships/hyperlink" Target="Docs/NLP/World%20Organisation%20for%20Animal%20Health%20(WOAH)%20-%20NLP.pdf" TargetMode="External"/><Relationship Id="rId53" Type="http://schemas.openxmlformats.org/officeDocument/2006/relationships/hyperlink" Target="Docs/NLP/Inria%20Paris%20-%20NLP.pdf" TargetMode="External"/><Relationship Id="rId54" Type="http://schemas.openxmlformats.org/officeDocument/2006/relationships/hyperlink" Target="Docs/NLP/Ekimetrics%20-%20NLP.pdf" TargetMode="External"/><Relationship Id="rId55" Type="http://schemas.openxmlformats.org/officeDocument/2006/relationships/hyperlink" Target="Docs/NLP/Thales%20-%20NLP.pdf" TargetMode="External"/><Relationship Id="rId56" Type="http://schemas.openxmlformats.org/officeDocument/2006/relationships/hyperlink" Target="Docs/NLP/Devoteam%20SAS%20-%20NLP.pdf" TargetMode="External"/><Relationship Id="rId57" Type="http://schemas.openxmlformats.org/officeDocument/2006/relationships/hyperlink" Target="Docs/NLP/Devoteam%20SAS%20---%20NLP.pdf" TargetMode="External"/><Relationship Id="rId58" Type="http://schemas.openxmlformats.org/officeDocument/2006/relationships/hyperlink" Target="Docs/NLP/Application%20non%20li&#233;%20&#224;%20l_entreprise%20-%20NLP.pdf" TargetMode="External"/><Relationship Id="rId59" Type="http://schemas.openxmlformats.org/officeDocument/2006/relationships/hyperlink" Target="Docs/NLP/EURO-INFORMATION%20DEVELOPPEMENTS%20-%20NLP.pdf" TargetMode="External"/><Relationship Id="rId60" Type="http://schemas.openxmlformats.org/officeDocument/2006/relationships/hyperlink" Target="Docs/Predictions/ENGIE%20-%20gen%20-%20Prediction.pdf" TargetMode="External"/><Relationship Id="rId61" Type="http://schemas.openxmlformats.org/officeDocument/2006/relationships/hyperlink" Target="Docs/Predictions/ENGIE%20-%20Prediction.pdf" TargetMode="External"/><Relationship Id="rId62" Type="http://schemas.openxmlformats.org/officeDocument/2006/relationships/hyperlink" Target="Docs/Predictions/Ekimetrics%20-%20prev%20-%20Prediction.pdf" TargetMode="External"/><Relationship Id="rId63" Type="http://schemas.openxmlformats.org/officeDocument/2006/relationships/hyperlink" Target="Docs/Predictions/LCL%20-%20Prediction.pdf" TargetMode="External"/><Relationship Id="rId64" Type="http://schemas.openxmlformats.org/officeDocument/2006/relationships/hyperlink" Target="Docs/Predictions/Ekimetrics%20-%20Prediction.pdf" TargetMode="External"/><Relationship Id="rId65" Type="http://schemas.openxmlformats.org/officeDocument/2006/relationships/hyperlink" Target="Docs/Predictions/Cr&#233;dit%20Agricole%20SA%20-%20Prediction.pdf" TargetMode="External"/><Relationship Id="rId66" Type="http://schemas.openxmlformats.org/officeDocument/2006/relationships/hyperlink" Target="Docs/Predictions/Dstudio%20-%20Prediction.pdf" TargetMode="External"/><Relationship Id="rId67" Type="http://schemas.openxmlformats.org/officeDocument/2006/relationships/hyperlink" Target="Docs/Predictions/eleven%20strategy%20-%20Prediction.pdf" TargetMode="External"/><Relationship Id="rId68" Type="http://schemas.openxmlformats.org/officeDocument/2006/relationships/hyperlink" Target="Docs/Sant&#233;/CREST%20-%20How%20-%20Sant&#233;.pdf" TargetMode="External"/><Relationship Id="rId69" Type="http://schemas.openxmlformats.org/officeDocument/2006/relationships/hyperlink" Target="Docs/Sant&#233;/CHU%20de%20Lille%20-%20Sant&#233;.pdf" TargetMode="External"/><Relationship Id="rId70" Type="http://schemas.openxmlformats.org/officeDocument/2006/relationships/hyperlink" Target="Docs/Sant&#233;/CREST%20-%20Sant&#233;.pdf" TargetMode="External"/><Relationship Id="rId71" Type="http://schemas.openxmlformats.org/officeDocument/2006/relationships/hyperlink" Target="Docs/Sant&#233;/Institut%20national%20de%20recherche%20en%20informatique%20et%20en%20automatique%20(Inria)%20-%20--Sant&#233;.pdf" TargetMode="External"/><Relationship Id="rId72" Type="http://schemas.openxmlformats.org/officeDocument/2006/relationships/hyperlink" Target="Docs/Sant&#233;/Institut%20national%20de%20recherche%20en%20informatique%20et%20en%20automatique%20(Inria)%20-%20Sant&#233;.pdf" TargetMode="External"/><Relationship Id="rId73" Type="http://schemas.openxmlformats.org/officeDocument/2006/relationships/hyperlink" Target="Docs/Sociologie%20Quantitative/Ined-%20Socio.pdf" TargetMode="External"/><Relationship Id="rId74" Type="http://schemas.openxmlformats.org/officeDocument/2006/relationships/hyperlink" Target="Docs/Sociologie%20Quantitative/Institut%20national%20d_&#233;tudes%20d&#233;mographiques-%20Socio.pdf" TargetMode="External"/><Relationship Id="rId75" Type="http://schemas.openxmlformats.org/officeDocument/2006/relationships/hyperlink" Target="Docs/Sociologie%20Quantitative/CREST%20-%20Consumption-%20Socio.pdf" TargetMode="External"/><Relationship Id="rId76" Type="http://schemas.openxmlformats.org/officeDocument/2006/relationships/hyperlink" Target="Docs/Sociologie%20Quantitative/CREST%20-%20Gender-%20Socio.pdf" TargetMode="External"/><Relationship Id="rId77" Type="http://schemas.openxmlformats.org/officeDocument/2006/relationships/hyperlink" Target="Docs/Sociologie%20Quantitative/CREST%20-%20Conspiracy-%20Socio.pdf" TargetMode="External"/><Relationship Id="rId78" Type="http://schemas.openxmlformats.org/officeDocument/2006/relationships/hyperlink" Target="Docs/Sociologie%20Quantitative/CREST%20-%20Social%20Status-%20Socio.pdf" TargetMode="External"/><Relationship Id="rId79" Type="http://schemas.openxmlformats.org/officeDocument/2006/relationships/hyperlink" Target="Docs/Sociologie%20Quantitative/CREST%20-%20Polarization-%20Socio.pdf" TargetMode="External"/><Relationship Id="rId80" Type="http://schemas.openxmlformats.org/officeDocument/2006/relationships/hyperlink" Target="Docs/Sociologie%20Quantitative/CREST%20-%20Sharing-%20Socio.pdf" TargetMode="External"/><Relationship Id="rId81" Type="http://schemas.openxmlformats.org/officeDocument/2006/relationships/hyperlink" Target="Docs/Sociologie%20Quantitative/CREST%20-%20His%20Her-%20Socio.pdf" TargetMode="External"/><Relationship Id="rId82" Type="http://schemas.openxmlformats.org/officeDocument/2006/relationships/hyperlink" Target="Docs/Sociologie%20Quantitative/CREST%20-%20Working%20-%20Socio.pdf" TargetMode="External"/><Relationship Id="rId83" Type="http://schemas.openxmlformats.org/officeDocument/2006/relationships/hyperlink" Target="Docs/Sociologie%20Quantitative/Insee%20-%20Socio.pdf" TargetMode="External"/><Relationship Id="rId8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Docs/Actuariat/SCOR%20-%20Actuariat.pdf" TargetMode="External"/><Relationship Id="rId2" Type="http://schemas.openxmlformats.org/officeDocument/2006/relationships/hyperlink" Target="Docs/Finance/HSBC%20Global%20Asset%20Management%20-%20%20-%20Finance.pdf" TargetMode="External"/><Relationship Id="rId3" Type="http://schemas.openxmlformats.org/officeDocument/2006/relationships/hyperlink" Target="Docs/Environnement%20Energie%20et%20Mobilit&#233;/CREST%20-%20Environnement.pdf" TargetMode="External"/><Relationship Id="rId4" Type="http://schemas.openxmlformats.org/officeDocument/2006/relationships/hyperlink" Target="Docs/Finance/BPCE%20SA%20-%20Finance.pdf" TargetMode="External"/><Relationship Id="rId5" Type="http://schemas.openxmlformats.org/officeDocument/2006/relationships/hyperlink" Target="Docs/Finance/Banque%20de%20France%20-%20Finance.pdf" TargetMode="External"/><Relationship Id="rId6" Type="http://schemas.openxmlformats.org/officeDocument/2006/relationships/hyperlink" Target="Docs/Finance/HSBC%20Global%20Asset%20Management%20-%20Finance.pdf" TargetMode="External"/><Relationship Id="rId7" Type="http://schemas.openxmlformats.org/officeDocument/2006/relationships/hyperlink" Target="Docs/Finance/Symbiotics%20Asset%20Management%20-%20Yield%20curve%20-%20Finance.pdf" TargetMode="External"/><Relationship Id="rId8" Type="http://schemas.openxmlformats.org/officeDocument/2006/relationships/hyperlink" Target="Docs/Finance/Symbiotics%20Asset%20Management%20-%20Stats%20Modelling%20-%20Finance.pdf" TargetMode="External"/><Relationship Id="rId9" Type="http://schemas.openxmlformats.org/officeDocument/2006/relationships/hyperlink" Target="Docs/Micro&#233;conomie%20Appliqu&#233;e/World%20Organisation%20for%20Animal%20Health%20(WOAH)%20-%20Micro.pdf" TargetMode="External"/><Relationship Id="rId10" Type="http://schemas.openxmlformats.org/officeDocument/2006/relationships/hyperlink" Target="Docs/Finance/VIA%20AM%20-%20Finance.pdf" TargetMode="External"/><Relationship Id="rId11" Type="http://schemas.openxmlformats.org/officeDocument/2006/relationships/hyperlink" Target="Docs/Actuariat/Ekimetrics%20-%20Actuariat.pdf" TargetMode="External"/><Relationship Id="rId12" Type="http://schemas.openxmlformats.org/officeDocument/2006/relationships/hyperlink" Target="Docs/NLP/World%20Organisation%20for%20Animal%20Health%20(WOAH)%20-%20NLP.pdf" TargetMode="External"/><Relationship Id="rId13" Type="http://schemas.openxmlformats.org/officeDocument/2006/relationships/hyperlink" Target="Docs/Environnement%20Energie%20et%20Mobilit&#233;/CREST%20-%20Disaster%20risk%20-%20Environnement.pdf" TargetMode="External"/><Relationship Id="rId14" Type="http://schemas.openxmlformats.org/officeDocument/2006/relationships/hyperlink" Target="Docs/Macroeconomie/Lazard%20Fr&#232;res%20-%20Macro.pdf" TargetMode="External"/><Relationship Id="rId15" Type="http://schemas.openxmlformats.org/officeDocument/2006/relationships/hyperlink" Target="Docs/Finance/Symbiotics%20Asset%20Management%20-%20Risk%20simplifying%20-%20Finance.pdf" TargetMode="External"/><Relationship Id="rId16" Type="http://schemas.openxmlformats.org/officeDocument/2006/relationships/hyperlink" Target="Docs/Macroeconomie/DG%20Tr&#233;sor%20-%20Macro.pdf" TargetMode="External"/><Relationship Id="rId17" Type="http://schemas.openxmlformats.org/officeDocument/2006/relationships/hyperlink" Target="Docs/Macroeconomie/Banque%20de%20France%20-%20Macro.pdf" TargetMode="External"/><Relationship Id="rId18" Type="http://schemas.openxmlformats.org/officeDocument/2006/relationships/hyperlink" Target="Docs/Macroeconomie/European%20University%20Institute%20-%20Macro.pdf" TargetMode="External"/><Relationship Id="rId19" Type="http://schemas.openxmlformats.org/officeDocument/2006/relationships/hyperlink" Target="Docs/Macroeconomie/DG%20Tr&#233;sor%20-%20Viellissement%20-%20Macro.pdf" TargetMode="External"/><Relationship Id="rId20" Type="http://schemas.openxmlformats.org/officeDocument/2006/relationships/hyperlink" Target="Docs/Micro&#233;conomie%20Appliqu&#233;e/CREST%20et%20Universit&#233;%20Paris%201%20Panth&#233;on-Sorbonne%20-%20-%20Micro.pdf" TargetMode="External"/><Relationship Id="rId21" Type="http://schemas.openxmlformats.org/officeDocument/2006/relationships/hyperlink" Target="Docs/Actuariat/HSBC%20Global%20Asset%20Management%20-%20Actuariat.pdf" TargetMode="External"/><Relationship Id="rId22" Type="http://schemas.openxmlformats.org/officeDocument/2006/relationships/hyperlink" Target="Docs/Predictions/ENGIE%20-%20gen%20-%20Prediction.pdf" TargetMode="External"/><Relationship Id="rId23" Type="http://schemas.openxmlformats.org/officeDocument/2006/relationships/hyperlink" Target="Docs/Finance/Symbiotics%20Asset%20Management%20-%20Finance.pdf" TargetMode="External"/><Relationship Id="rId24" Type="http://schemas.openxmlformats.org/officeDocument/2006/relationships/hyperlink" Target="Docs/Marketing%20Quantitatif/Withings%20SAS%20-%20Marketing%20Quantitatif.pdf" TargetMode="External"/><Relationship Id="rId25" Type="http://schemas.openxmlformats.org/officeDocument/2006/relationships/hyperlink" Target="Docs/Finance/Soci&#233;t&#233;%20G&#233;n&#233;rale%20-%20Finance.pdf" TargetMode="External"/><Relationship Id="rId26" Type="http://schemas.openxmlformats.org/officeDocument/2006/relationships/hyperlink" Target="Docs/Predictions/eleven%20strategy%20-%20Prediction.pdf" TargetMode="External"/><Relationship Id="rId27" Type="http://schemas.openxmlformats.org/officeDocument/2006/relationships/hyperlink" Target="Docs/Actuariat/KORFED%20SAS%20-%20Actuariat.pdf" TargetMode="External"/><Relationship Id="rId28" Type="http://schemas.openxmlformats.org/officeDocument/2006/relationships/hyperlink" Target="Docs/Finance/Ornikar%20Assurance%20-%20Finance.pdf" TargetMode="External"/><Relationship Id="rId29" Type="http://schemas.openxmlformats.org/officeDocument/2006/relationships/hyperlink" Target="Docs/Predictions/Ekimetrics%20-%20Prediction.pdf" TargetMode="External"/><Relationship Id="rId30" Type="http://schemas.openxmlformats.org/officeDocument/2006/relationships/hyperlink" Target="Docs/NLP/Ekimetrics%20-%20NLP.pdf" TargetMode="External"/><Relationship Id="rId31" Type="http://schemas.openxmlformats.org/officeDocument/2006/relationships/hyperlink" Target="Docs/Autre/Ekimetrics%20-%20Autre.pdf" TargetMode="External"/><Relationship Id="rId32" Type="http://schemas.openxmlformats.org/officeDocument/2006/relationships/hyperlink" Target="Docs/Sociologie%20Quantitative/CREST%20-%20Social%20Status-%20Socio.pdf" TargetMode="External"/><Relationship Id="rId33" Type="http://schemas.openxmlformats.org/officeDocument/2006/relationships/hyperlink" Target="Docs/Environnement%20Energie%20et%20Mobilit&#233;/Ecole%20Nationale%20des%20Ponts%20et%20Chauss&#233;es%20-%20Environnement.pdf" TargetMode="External"/><Relationship Id="rId34" Type="http://schemas.openxmlformats.org/officeDocument/2006/relationships/hyperlink" Target="Docs/Predictions/Cr&#233;dit%20Agricole%20SA%20-%20Prediction.pdf" TargetMode="External"/><Relationship Id="rId35" Type="http://schemas.openxmlformats.org/officeDocument/2006/relationships/hyperlink" Target="Docs/Sociologie%20Quantitative/CREST%20-%20Polarization-%20Socio.pdf" TargetMode="External"/><Relationship Id="rId36" Type="http://schemas.openxmlformats.org/officeDocument/2006/relationships/hyperlink" Target="Docs/Micro&#233;conomie%20Appliqu&#233;e/CREST%20UMR%209194%20-%20Micro.pdf" TargetMode="External"/><Relationship Id="rId37" Type="http://schemas.openxmlformats.org/officeDocument/2006/relationships/hyperlink" Target="Docs/Sociologie%20Quantitative/Insee%20-%20Socio.pdf" TargetMode="External"/><Relationship Id="rId38" Type="http://schemas.openxmlformats.org/officeDocument/2006/relationships/hyperlink" Target="Docs/Environnement%20Energie%20et%20Mobilit&#233;/INRAE%20-%20Environnement.pdf" TargetMode="External"/><Relationship Id="rId39" Type="http://schemas.openxmlformats.org/officeDocument/2006/relationships/hyperlink" Target="Docs/Micro&#233;conomie%20Appliqu&#233;e/CREST-%20Micro.pdf" TargetMode="External"/><Relationship Id="rId40" Type="http://schemas.openxmlformats.org/officeDocument/2006/relationships/hyperlink" Target="Docs/Actuariat/CREST%20ENSAE%20-%20Actuariat.pdf" TargetMode="External"/><Relationship Id="rId41" Type="http://schemas.openxmlformats.org/officeDocument/2006/relationships/hyperlink" Target="Docs/Sant&#233;/CREST%20-%20How%20-%20Sant&#233;.pdf" TargetMode="External"/><Relationship Id="rId42" Type="http://schemas.openxmlformats.org/officeDocument/2006/relationships/hyperlink" Target="Docs/Macroeconomie/QuantCube%20Technology%20-%20Macro.pdf" TargetMode="External"/><Relationship Id="rId43" Type="http://schemas.openxmlformats.org/officeDocument/2006/relationships/hyperlink" Target="Docs/Sociologie%20Quantitative/CREST%20-%20Consumption-%20Socio.pdf" TargetMode="External"/><Relationship Id="rId44" Type="http://schemas.openxmlformats.org/officeDocument/2006/relationships/hyperlink" Target="Docs/Micro&#233;conomie%20Appliqu&#233;e/RITM%20-%20Facult&#233;%20Jean%20Monnet%20-%20Universit&#233;%20Paris-Saclay%20-%20Micro.pdf" TargetMode="External"/><Relationship Id="rId45" Type="http://schemas.openxmlformats.org/officeDocument/2006/relationships/hyperlink" Target="Docs/NLP/Inria%20Paris%20-%20NLP.pdf" TargetMode="External"/><Relationship Id="rId46" Type="http://schemas.openxmlformats.org/officeDocument/2006/relationships/hyperlink" Target="Docs/Sociologie%20Quantitative/CREST%20-%20Gender-%20Socio.pdf" TargetMode="External"/><Relationship Id="rId47" Type="http://schemas.openxmlformats.org/officeDocument/2006/relationships/hyperlink" Target="Docs/Sant&#233;/CREST%20-%20Sant&#233;.pdf" TargetMode="External"/><Relationship Id="rId48" Type="http://schemas.openxmlformats.org/officeDocument/2006/relationships/hyperlink" Target="Docs/Micro&#233;conomie%20Appliqu&#233;e/CREST%20UMR%209194-%20Elections%20-%20Micro.pdf" TargetMode="External"/><Relationship Id="rId49" Type="http://schemas.openxmlformats.org/officeDocument/2006/relationships/hyperlink" Target="Docs/Micro&#233;conomie%20Appliqu&#233;e/CREST%20et%20Universit&#233;%20Paris%201%20Panth&#233;on-Sorbonne%20-%20Micro.pdf" TargetMode="External"/><Relationship Id="rId50" Type="http://schemas.openxmlformats.org/officeDocument/2006/relationships/hyperlink" Target="Docs/Sociologie%20Quantitative/CREST%20-%20Working%20-%20Socio.pdf" TargetMode="External"/><Relationship Id="rId51" Type="http://schemas.openxmlformats.org/officeDocument/2006/relationships/hyperlink" Target="Docs/Environnement%20Energie%20et%20Mobilit&#233;/INRAE%20-%20homo%20-%20Environnement.pdf" TargetMode="External"/><Relationship Id="rId52" Type="http://schemas.openxmlformats.org/officeDocument/2006/relationships/hyperlink" Target="Docs/Sociologie%20Quantitative/CREST%20-%20Conspiracy-%20Socio.pdf" TargetMode="External"/><Relationship Id="rId53" Type="http://schemas.openxmlformats.org/officeDocument/2006/relationships/hyperlink" Target="Docs/Sociologie%20Quantitative/CREST%20-%20Sharing-%20Socio.pdf" TargetMode="External"/><Relationship Id="rId54" Type="http://schemas.openxmlformats.org/officeDocument/2006/relationships/hyperlink" Target="Docs/Sociologie%20Quantitative/CREST%20-%20His%20Her-%20Socio.pdf" TargetMode="External"/><Relationship Id="rId55" Type="http://schemas.openxmlformats.org/officeDocument/2006/relationships/hyperlink" Target="Docs/Environnement%20Energie%20et%20Mobilit&#233;/CANOPY%20ENERGIES%20-%20Environnement.pdf" TargetMode="External"/><Relationship Id="rId56" Type="http://schemas.openxmlformats.org/officeDocument/2006/relationships/hyperlink" Target="Docs/Sociologie%20Quantitative/Ined-%20Socio.pdf" TargetMode="External"/><Relationship Id="rId57" Type="http://schemas.openxmlformats.org/officeDocument/2006/relationships/hyperlink" Target="Docs/Micro&#233;conomie%20Appliqu&#233;e/Drees%20-%20Micro.pdf" TargetMode="External"/><Relationship Id="rId58" Type="http://schemas.openxmlformats.org/officeDocument/2006/relationships/hyperlink" Target="Docs/Predictions/Ekimetrics%20-%20prev%20-%20Prediction.pdf" TargetMode="External"/><Relationship Id="rId59" Type="http://schemas.openxmlformats.org/officeDocument/2006/relationships/hyperlink" Target="Docs/Sociologie%20Quantitative/Institut%20national%20d_&#233;tudes%20d&#233;mographiques-%20Socio.pdf" TargetMode="External"/><Relationship Id="rId60" Type="http://schemas.openxmlformats.org/officeDocument/2006/relationships/hyperlink" Target="Docs/Environnement%20Energie%20et%20Mobilit&#233;/EDF%20R&amp;D%20-%20Environnement.pdf" TargetMode="External"/><Relationship Id="rId61" Type="http://schemas.openxmlformats.org/officeDocument/2006/relationships/hyperlink" Target="Docs/Predictions/ENGIE%20-%20Prediction.pdf" TargetMode="External"/><Relationship Id="rId62" Type="http://schemas.openxmlformats.org/officeDocument/2006/relationships/hyperlink" Target="Docs/Environnement%20Energie%20et%20Mobilit&#233;/RTE%20-%20Environnement.pdf" TargetMode="External"/><Relationship Id="rId63" Type="http://schemas.openxmlformats.org/officeDocument/2006/relationships/hyperlink" Target="Docs/Environnement%20Energie%20et%20Mobilit&#233;/GazTransport%20et%20Technigaz%20-%20Environnement.pdf" TargetMode="External"/><Relationship Id="rId64" Type="http://schemas.openxmlformats.org/officeDocument/2006/relationships/hyperlink" Target="Docs/NLP/Application%20non%20li&#233;%20&#224;%20l_entreprise%20-%20NLP.pdf" TargetMode="External"/><Relationship Id="rId65" Type="http://schemas.openxmlformats.org/officeDocument/2006/relationships/hyperlink" Target="Docs/Marketing%20Quantitatif/Ekimetrics%20-%20Marketing%20Quantitatif.pdf" TargetMode="External"/><Relationship Id="rId66" Type="http://schemas.openxmlformats.org/officeDocument/2006/relationships/hyperlink" Target="Docs/Environnement%20Energie%20et%20Mobilit&#233;/CREST-%20Olivier%20-%20Environnement.pdf" TargetMode="External"/><Relationship Id="rId67" Type="http://schemas.openxmlformats.org/officeDocument/2006/relationships/hyperlink" Target="Docs/NLP/Devoteam%20SAS%20---%20NLP.pdf" TargetMode="External"/><Relationship Id="rId68" Type="http://schemas.openxmlformats.org/officeDocument/2006/relationships/hyperlink" Target="Docs/Sant&#233;/Institut%20national%20de%20recherche%20en%20informatique%20et%20en%20automatique%20(Inria)%20-%20--Sant&#233;.pdf" TargetMode="External"/><Relationship Id="rId69" Type="http://schemas.openxmlformats.org/officeDocument/2006/relationships/hyperlink" Target="Docs/Actuariat/BNP%20Paribas%20Cardif%20-%20Actuariat.pdf" TargetMode="External"/><Relationship Id="rId70" Type="http://schemas.openxmlformats.org/officeDocument/2006/relationships/hyperlink" Target="Docs/Micro&#233;conomie%20Appliqu&#233;e/CREST%20-%20Unpacking%20-%20Micro.pdf" TargetMode="External"/><Relationship Id="rId71" Type="http://schemas.openxmlformats.org/officeDocument/2006/relationships/hyperlink" Target="Docs/Marketing%20Quantitatif/Sia%20Partners%20-%20Marketing%20Quantitatif.pdf" TargetMode="External"/><Relationship Id="rId72" Type="http://schemas.openxmlformats.org/officeDocument/2006/relationships/hyperlink" Target="Docs/Autre/Soci&#233;t&#233;%20G&#233;n&#233;rale%20-%20Autre.pdf" TargetMode="External"/><Relationship Id="rId73" Type="http://schemas.openxmlformats.org/officeDocument/2006/relationships/hyperlink" Target="Docs/Finance/Partners%20Group%20-%20Finance.pdf" TargetMode="External"/><Relationship Id="rId74" Type="http://schemas.openxmlformats.org/officeDocument/2006/relationships/hyperlink" Target="Docs/NLP/Devoteam%20SAS%20-%20NLP.pdf" TargetMode="External"/><Relationship Id="rId75" Type="http://schemas.openxmlformats.org/officeDocument/2006/relationships/hyperlink" Target="Docs/Sant&#233;/Institut%20national%20de%20recherche%20en%20informatique%20et%20en%20automatique%20(Inria)%20-%20Sant&#233;.pdf" TargetMode="External"/><Relationship Id="rId76" Type="http://schemas.openxmlformats.org/officeDocument/2006/relationships/hyperlink" Target="Docs/NLP/Thales%20-%20NLP.pdf" TargetMode="External"/><Relationship Id="rId77" Type="http://schemas.openxmlformats.org/officeDocument/2006/relationships/hyperlink" Target="Docs/Predictions/Dstudio%20-%20Prediction.pdf" TargetMode="External"/><Relationship Id="rId78" Type="http://schemas.openxmlformats.org/officeDocument/2006/relationships/hyperlink" Target="Docs/Autre/HeadMind%20Partners%20-%20Autre.pdf" TargetMode="External"/><Relationship Id="rId79" Type="http://schemas.openxmlformats.org/officeDocument/2006/relationships/hyperlink" Target="Docs/Predictions/LCL%20-%20Prediction.pdf" TargetMode="External"/><Relationship Id="rId80" Type="http://schemas.openxmlformats.org/officeDocument/2006/relationships/hyperlink" Target="Docs/NLP/EURO-INFORMATION%20DEVELOPPEMENTS%20-%20NLP.pdf" TargetMode="External"/><Relationship Id="rId81" Type="http://schemas.openxmlformats.org/officeDocument/2006/relationships/hyperlink" Target="Docs/NLP/HeadMind%20Partners%20-%20NLP.pdf" TargetMode="External"/><Relationship Id="rId82" Type="http://schemas.openxmlformats.org/officeDocument/2006/relationships/hyperlink" Target="Docs/Sant&#233;/CHU%20de%20Lille%20-%20Sant&#233;.pdf" TargetMode="External"/><Relationship Id="rId83" Type="http://schemas.openxmlformats.org/officeDocument/2006/relationships/hyperlink" Target="Docs/Macroeconomie/QuantCube%20Technology%20-%20Nowcasting%20-Macro.pdf" TargetMode="External"/><Relationship Id="rId84"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0"/>
  </cols>
  <sheetData>
    <row r="1" customFormat="false" ht="17.35" hidden="false" customHeight="false" outlineLevel="0" collapsed="false">
      <c r="B1" s="1" t="s">
        <v>0</v>
      </c>
    </row>
    <row r="2" customFormat="false" ht="15" hidden="false" customHeight="false" outlineLevel="0" collapsed="false">
      <c r="B2" s="2" t="s">
        <v>1</v>
      </c>
    </row>
    <row r="3" customFormat="false" ht="35.05" hidden="false" customHeight="false" outlineLevel="0" collapsed="false">
      <c r="B3" s="3" t="s">
        <v>2</v>
      </c>
    </row>
    <row r="4" customFormat="false" ht="23.85" hidden="false" customHeight="false" outlineLevel="0" collapsed="false">
      <c r="B4" s="3" t="s">
        <v>3</v>
      </c>
    </row>
    <row r="5" customFormat="false" ht="15" hidden="false" customHeight="false" outlineLevel="0" collapsed="false">
      <c r="B5" s="2" t="s">
        <v>4</v>
      </c>
    </row>
    <row r="6" customFormat="false" ht="15" hidden="false" customHeight="false" outlineLevel="0" collapsed="false">
      <c r="B6" s="3" t="s">
        <v>5</v>
      </c>
    </row>
    <row r="7" customFormat="false" ht="23.85" hidden="false" customHeight="false" outlineLevel="0" collapsed="false">
      <c r="B7" s="3" t="s">
        <v>6</v>
      </c>
    </row>
    <row r="8" customFormat="false" ht="23.85" hidden="false" customHeight="false" outlineLevel="0" collapsed="false">
      <c r="B8" s="3" t="s">
        <v>7</v>
      </c>
    </row>
    <row r="9" customFormat="false" ht="23.85" hidden="false" customHeight="false" outlineLevel="0" collapsed="false">
      <c r="B9" s="3" t="s">
        <v>8</v>
      </c>
    </row>
    <row r="10" customFormat="false" ht="15" hidden="false" customHeight="false" outlineLevel="0" collapsed="false">
      <c r="B10" s="3" t="s">
        <v>9</v>
      </c>
    </row>
    <row r="11" customFormat="false" ht="15" hidden="false" customHeight="false" outlineLevel="0" collapsed="false">
      <c r="B11" s="2" t="s">
        <v>10</v>
      </c>
    </row>
    <row r="12" customFormat="false" ht="23.85" hidden="false" customHeight="false" outlineLevel="0" collapsed="false">
      <c r="B12" s="3" t="s">
        <v>11</v>
      </c>
    </row>
    <row r="13" customFormat="false" ht="15" hidden="false" customHeight="false" outlineLevel="0" collapsed="false">
      <c r="B13" s="2" t="s">
        <v>12</v>
      </c>
    </row>
    <row r="14" customFormat="false" ht="23.85" hidden="false" customHeight="false" outlineLevel="0" collapsed="false">
      <c r="B14" s="3" t="s">
        <v>13</v>
      </c>
    </row>
    <row r="15" customFormat="false" ht="23.85" hidden="false" customHeight="false" outlineLevel="0" collapsed="false">
      <c r="B15" s="3" t="s">
        <v>14</v>
      </c>
    </row>
    <row r="16" customFormat="false" ht="23.85" hidden="false" customHeight="false" outlineLevel="0" collapsed="false">
      <c r="B16" s="3" t="s">
        <v>15</v>
      </c>
    </row>
    <row r="17" customFormat="false" ht="23.85" hidden="false" customHeight="false" outlineLevel="0" collapsed="false">
      <c r="B17" s="3" t="s">
        <v>16</v>
      </c>
    </row>
    <row r="18" customFormat="false" ht="15" hidden="false" customHeight="false" outlineLevel="0" collapsed="false">
      <c r="B18" s="2" t="s">
        <v>17</v>
      </c>
    </row>
    <row r="19" customFormat="false" ht="23.85" hidden="false" customHeight="false" outlineLevel="0" collapsed="false">
      <c r="B19" s="3" t="s">
        <v>18</v>
      </c>
    </row>
    <row r="20" customFormat="false" ht="23.85" hidden="false" customHeight="false" outlineLevel="0" collapsed="false">
      <c r="B20" s="3" t="s">
        <v>19</v>
      </c>
    </row>
    <row r="22" customFormat="false" ht="15" hidden="false" customHeight="false" outlineLevel="0" collapsed="false">
      <c r="B22" s="2" t="s">
        <v>20</v>
      </c>
    </row>
    <row r="23" customFormat="false" ht="23.85" hidden="false" customHeight="false" outlineLevel="0" collapsed="false">
      <c r="B23" s="3" t="s">
        <v>21</v>
      </c>
    </row>
    <row r="24" customFormat="false" ht="23.85" hidden="false" customHeight="false" outlineLevel="0" collapsed="false">
      <c r="B24" s="3" t="s">
        <v>22</v>
      </c>
    </row>
    <row r="25" customFormat="false" ht="23.85" hidden="false" customHeight="false" outlineLevel="0" collapsed="false">
      <c r="B25" s="3" t="s">
        <v>23</v>
      </c>
    </row>
    <row r="26" customFormat="false" ht="15" hidden="false" customHeight="false" outlineLevel="0" collapsed="false">
      <c r="B26" s="3" t="s">
        <v>24</v>
      </c>
    </row>
    <row r="27" customFormat="false" ht="15" hidden="false" customHeight="false" outlineLevel="0" collapsed="false">
      <c r="B27" s="2" t="s">
        <v>25</v>
      </c>
    </row>
    <row r="28" customFormat="false" ht="23.85" hidden="false" customHeight="false" outlineLevel="0" collapsed="false">
      <c r="B28" s="3" t="s">
        <v>26</v>
      </c>
    </row>
    <row r="29" customFormat="false" ht="23.85" hidden="false" customHeight="false" outlineLevel="0" collapsed="false">
      <c r="B29" s="3" t="s">
        <v>27</v>
      </c>
    </row>
    <row r="30" customFormat="false" ht="23.85" hidden="false" customHeight="false" outlineLevel="0" collapsed="false">
      <c r="B30" s="3" t="s">
        <v>28</v>
      </c>
    </row>
    <row r="31" customFormat="false" ht="23.85" hidden="false" customHeight="false" outlineLevel="0" collapsed="false">
      <c r="B31" s="3" t="s">
        <v>29</v>
      </c>
    </row>
    <row r="32" customFormat="false" ht="23.85" hidden="false" customHeight="false" outlineLevel="0" collapsed="false">
      <c r="B32" s="3" t="s">
        <v>30</v>
      </c>
    </row>
    <row r="33" customFormat="false" ht="23.85" hidden="false" customHeight="false" outlineLevel="0" collapsed="false">
      <c r="B33" s="3"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34"/>
    <col collapsed="false" customWidth="true" hidden="false" outlineLevel="0" max="4" min="4" style="0" width="70"/>
    <col collapsed="false" customWidth="true" hidden="false" outlineLevel="0" max="5" min="5" style="0" width="14"/>
    <col collapsed="false" customWidth="true" hidden="false" outlineLevel="0" max="6" min="6" style="0" width="16"/>
    <col collapsed="false" customWidth="true" hidden="false" outlineLevel="0" max="7" min="7" style="0" width="30"/>
    <col collapsed="false" customWidth="true" hidden="false" outlineLevel="0" max="8" min="8" style="0" width="10"/>
    <col collapsed="false" customWidth="true" hidden="false" outlineLevel="0" max="11" min="9" style="0" width="44"/>
  </cols>
  <sheetData>
    <row r="1" customFormat="false" ht="17.35" hidden="false" customHeight="false" outlineLevel="0" collapsed="false">
      <c r="A1" s="4" t="s">
        <v>32</v>
      </c>
    </row>
    <row r="2" customFormat="false" ht="15" hidden="false" customHeight="false" outlineLevel="0" collapsed="false">
      <c r="A2" s="5" t="s">
        <v>33</v>
      </c>
    </row>
    <row r="4" customFormat="false" ht="30" hidden="false" customHeight="true" outlineLevel="0" collapsed="false">
      <c r="A4" s="6" t="s">
        <v>34</v>
      </c>
      <c r="B4" s="6" t="s">
        <v>35</v>
      </c>
      <c r="C4" s="6" t="s">
        <v>36</v>
      </c>
      <c r="D4" s="6" t="s">
        <v>37</v>
      </c>
      <c r="E4" s="6" t="s">
        <v>38</v>
      </c>
      <c r="F4" s="6" t="s">
        <v>39</v>
      </c>
      <c r="G4" s="6" t="s">
        <v>40</v>
      </c>
      <c r="H4" s="6" t="s">
        <v>41</v>
      </c>
      <c r="I4" s="6" t="s">
        <v>42</v>
      </c>
      <c r="J4" s="6" t="s">
        <v>43</v>
      </c>
      <c r="K4" s="6" t="s">
        <v>44</v>
      </c>
    </row>
    <row r="5" customFormat="false" ht="32.8" hidden="false" customHeight="false" outlineLevel="0" collapsed="false">
      <c r="A5" s="7" t="s">
        <v>45</v>
      </c>
      <c r="B5" s="8" t="s">
        <v>46</v>
      </c>
      <c r="C5" s="8" t="s">
        <v>47</v>
      </c>
      <c r="D5" s="8" t="s">
        <v>48</v>
      </c>
      <c r="E5" s="7" t="s">
        <v>49</v>
      </c>
      <c r="F5" s="8" t="s">
        <v>50</v>
      </c>
      <c r="G5" s="8" t="s">
        <v>51</v>
      </c>
      <c r="H5" s="7" t="s">
        <v>52</v>
      </c>
      <c r="I5" s="8" t="s">
        <v>53</v>
      </c>
      <c r="J5" s="8" t="s">
        <v>54</v>
      </c>
      <c r="K5" s="8" t="s">
        <v>55</v>
      </c>
    </row>
    <row r="6" customFormat="false" ht="32.8" hidden="false" customHeight="false" outlineLevel="0" collapsed="false">
      <c r="A6" s="7" t="s">
        <v>56</v>
      </c>
      <c r="B6" s="8" t="s">
        <v>46</v>
      </c>
      <c r="C6" s="8" t="s">
        <v>57</v>
      </c>
      <c r="D6" s="8" t="s">
        <v>58</v>
      </c>
      <c r="E6" s="7" t="s">
        <v>49</v>
      </c>
      <c r="F6" s="8" t="s">
        <v>50</v>
      </c>
      <c r="G6" s="8" t="s">
        <v>51</v>
      </c>
      <c r="H6" s="7" t="s">
        <v>52</v>
      </c>
      <c r="I6" s="8" t="s">
        <v>59</v>
      </c>
      <c r="J6" s="8" t="s">
        <v>60</v>
      </c>
      <c r="K6" s="8" t="s">
        <v>61</v>
      </c>
    </row>
    <row r="7" customFormat="false" ht="22.35" hidden="false" customHeight="false" outlineLevel="0" collapsed="false">
      <c r="A7" s="9" t="s">
        <v>62</v>
      </c>
      <c r="B7" s="10" t="s">
        <v>46</v>
      </c>
      <c r="C7" s="10" t="s">
        <v>63</v>
      </c>
      <c r="D7" s="10" t="s">
        <v>64</v>
      </c>
      <c r="E7" s="9" t="s">
        <v>49</v>
      </c>
      <c r="F7" s="10" t="s">
        <v>50</v>
      </c>
      <c r="G7" s="10" t="s">
        <v>51</v>
      </c>
      <c r="H7" s="9" t="s">
        <v>65</v>
      </c>
      <c r="I7" s="10" t="s">
        <v>66</v>
      </c>
      <c r="J7" s="10" t="s">
        <v>67</v>
      </c>
      <c r="K7" s="10" t="s">
        <v>68</v>
      </c>
    </row>
    <row r="8" customFormat="false" ht="32.8" hidden="false" customHeight="false" outlineLevel="0" collapsed="false">
      <c r="A8" s="7" t="s">
        <v>69</v>
      </c>
      <c r="B8" s="8" t="s">
        <v>46</v>
      </c>
      <c r="C8" s="8" t="s">
        <v>70</v>
      </c>
      <c r="D8" s="8" t="s">
        <v>71</v>
      </c>
      <c r="E8" s="7" t="s">
        <v>49</v>
      </c>
      <c r="F8" s="8" t="s">
        <v>50</v>
      </c>
      <c r="G8" s="8" t="s">
        <v>51</v>
      </c>
      <c r="H8" s="7" t="s">
        <v>52</v>
      </c>
      <c r="I8" s="8" t="s">
        <v>72</v>
      </c>
      <c r="J8" s="8" t="s">
        <v>73</v>
      </c>
      <c r="K8" s="8" t="s">
        <v>74</v>
      </c>
    </row>
    <row r="9" customFormat="false" ht="32.8" hidden="false" customHeight="false" outlineLevel="0" collapsed="false">
      <c r="A9" s="7" t="s">
        <v>75</v>
      </c>
      <c r="B9" s="8" t="s">
        <v>46</v>
      </c>
      <c r="C9" s="8" t="s">
        <v>76</v>
      </c>
      <c r="D9" s="8" t="s">
        <v>77</v>
      </c>
      <c r="E9" s="7" t="s">
        <v>49</v>
      </c>
      <c r="F9" s="8" t="s">
        <v>78</v>
      </c>
      <c r="G9" s="8" t="s">
        <v>51</v>
      </c>
      <c r="H9" s="7" t="s">
        <v>52</v>
      </c>
      <c r="I9" s="8" t="s">
        <v>79</v>
      </c>
      <c r="J9" s="8" t="s">
        <v>80</v>
      </c>
      <c r="K9" s="8" t="s">
        <v>81</v>
      </c>
    </row>
    <row r="10" customFormat="false" ht="32.8" hidden="false" customHeight="false" outlineLevel="0" collapsed="false">
      <c r="A10" s="9" t="s">
        <v>82</v>
      </c>
      <c r="B10" s="10" t="s">
        <v>46</v>
      </c>
      <c r="C10" s="10" t="s">
        <v>83</v>
      </c>
      <c r="D10" s="10" t="s">
        <v>84</v>
      </c>
      <c r="E10" s="9" t="s">
        <v>49</v>
      </c>
      <c r="F10" s="10" t="s">
        <v>78</v>
      </c>
      <c r="G10" s="10" t="s">
        <v>51</v>
      </c>
      <c r="H10" s="9" t="s">
        <v>65</v>
      </c>
      <c r="I10" s="10" t="s">
        <v>85</v>
      </c>
      <c r="J10" s="10" t="s">
        <v>86</v>
      </c>
      <c r="K10" s="10" t="s">
        <v>87</v>
      </c>
    </row>
    <row r="11" customFormat="false" ht="32.8" hidden="false" customHeight="false" outlineLevel="0" collapsed="false">
      <c r="A11" s="7" t="s">
        <v>88</v>
      </c>
      <c r="B11" s="8" t="s">
        <v>46</v>
      </c>
      <c r="C11" s="8" t="s">
        <v>89</v>
      </c>
      <c r="D11" s="8" t="s">
        <v>90</v>
      </c>
      <c r="E11" s="7" t="s">
        <v>49</v>
      </c>
      <c r="F11" s="8" t="s">
        <v>78</v>
      </c>
      <c r="G11" s="8" t="s">
        <v>51</v>
      </c>
      <c r="H11" s="7" t="s">
        <v>52</v>
      </c>
      <c r="I11" s="8" t="s">
        <v>91</v>
      </c>
      <c r="J11" s="8" t="s">
        <v>92</v>
      </c>
      <c r="K11" s="8" t="s">
        <v>93</v>
      </c>
    </row>
    <row r="12" customFormat="false" ht="32.8" hidden="false" customHeight="false" outlineLevel="0" collapsed="false">
      <c r="A12" s="7" t="s">
        <v>94</v>
      </c>
      <c r="B12" s="8" t="s">
        <v>46</v>
      </c>
      <c r="C12" s="8" t="s">
        <v>95</v>
      </c>
      <c r="D12" s="8" t="s">
        <v>96</v>
      </c>
      <c r="E12" s="7" t="s">
        <v>49</v>
      </c>
      <c r="F12" s="8" t="s">
        <v>50</v>
      </c>
      <c r="G12" s="8" t="s">
        <v>51</v>
      </c>
      <c r="H12" s="7" t="s">
        <v>52</v>
      </c>
      <c r="I12" s="8" t="s">
        <v>97</v>
      </c>
      <c r="J12" s="8" t="s">
        <v>98</v>
      </c>
      <c r="K12" s="8" t="s">
        <v>99</v>
      </c>
    </row>
    <row r="13" customFormat="false" ht="22.35" hidden="false" customHeight="false" outlineLevel="0" collapsed="false">
      <c r="A13" s="7" t="s">
        <v>100</v>
      </c>
      <c r="B13" s="8" t="s">
        <v>46</v>
      </c>
      <c r="C13" s="8" t="s">
        <v>101</v>
      </c>
      <c r="D13" s="8" t="s">
        <v>102</v>
      </c>
      <c r="E13" s="7" t="s">
        <v>49</v>
      </c>
      <c r="F13" s="8" t="s">
        <v>103</v>
      </c>
      <c r="G13" s="8" t="s">
        <v>104</v>
      </c>
      <c r="H13" s="7" t="s">
        <v>52</v>
      </c>
      <c r="I13" s="8" t="s">
        <v>105</v>
      </c>
      <c r="J13" s="8" t="s">
        <v>106</v>
      </c>
      <c r="K13" s="8" t="s">
        <v>107</v>
      </c>
    </row>
    <row r="14" customFormat="false" ht="22.35" hidden="false" customHeight="false" outlineLevel="0" collapsed="false">
      <c r="A14" s="7" t="s">
        <v>108</v>
      </c>
      <c r="B14" s="8" t="s">
        <v>109</v>
      </c>
      <c r="C14" s="8" t="s">
        <v>110</v>
      </c>
      <c r="D14" s="8" t="s">
        <v>111</v>
      </c>
      <c r="E14" s="7" t="s">
        <v>49</v>
      </c>
      <c r="F14" s="8" t="s">
        <v>112</v>
      </c>
      <c r="G14" s="8" t="s">
        <v>113</v>
      </c>
      <c r="H14" s="7" t="s">
        <v>52</v>
      </c>
      <c r="I14" s="8" t="s">
        <v>114</v>
      </c>
      <c r="J14" s="8" t="s">
        <v>115</v>
      </c>
      <c r="K14" s="8" t="s">
        <v>116</v>
      </c>
    </row>
    <row r="15" customFormat="false" ht="22.35" hidden="false" customHeight="false" outlineLevel="0" collapsed="false">
      <c r="A15" s="7" t="s">
        <v>117</v>
      </c>
      <c r="B15" s="8" t="s">
        <v>109</v>
      </c>
      <c r="C15" s="8" t="s">
        <v>118</v>
      </c>
      <c r="D15" s="8" t="s">
        <v>119</v>
      </c>
      <c r="E15" s="7" t="s">
        <v>49</v>
      </c>
      <c r="F15" s="8" t="s">
        <v>112</v>
      </c>
      <c r="G15" s="8" t="s">
        <v>113</v>
      </c>
      <c r="H15" s="7" t="s">
        <v>52</v>
      </c>
      <c r="I15" s="8" t="s">
        <v>120</v>
      </c>
      <c r="J15" s="8" t="s">
        <v>121</v>
      </c>
      <c r="K15" s="8" t="s">
        <v>122</v>
      </c>
    </row>
    <row r="16" customFormat="false" ht="32.8" hidden="false" customHeight="false" outlineLevel="0" collapsed="false">
      <c r="A16" s="7" t="s">
        <v>123</v>
      </c>
      <c r="B16" s="8" t="s">
        <v>109</v>
      </c>
      <c r="C16" s="8" t="s">
        <v>124</v>
      </c>
      <c r="D16" s="8" t="s">
        <v>125</v>
      </c>
      <c r="E16" s="7" t="s">
        <v>49</v>
      </c>
      <c r="F16" s="8" t="s">
        <v>112</v>
      </c>
      <c r="G16" s="8" t="s">
        <v>113</v>
      </c>
      <c r="H16" s="7" t="s">
        <v>52</v>
      </c>
      <c r="I16" s="8" t="s">
        <v>126</v>
      </c>
      <c r="J16" s="8" t="s">
        <v>127</v>
      </c>
      <c r="K16" s="8" t="s">
        <v>128</v>
      </c>
    </row>
    <row r="17" customFormat="false" ht="22.35" hidden="false" customHeight="false" outlineLevel="0" collapsed="false">
      <c r="A17" s="7" t="s">
        <v>129</v>
      </c>
      <c r="B17" s="8" t="s">
        <v>109</v>
      </c>
      <c r="C17" s="8" t="s">
        <v>130</v>
      </c>
      <c r="D17" s="8" t="s">
        <v>131</v>
      </c>
      <c r="E17" s="7" t="s">
        <v>49</v>
      </c>
      <c r="F17" s="8" t="s">
        <v>50</v>
      </c>
      <c r="G17" s="8" t="s">
        <v>113</v>
      </c>
      <c r="H17" s="7" t="s">
        <v>52</v>
      </c>
      <c r="I17" s="8" t="s">
        <v>132</v>
      </c>
      <c r="J17" s="8" t="s">
        <v>133</v>
      </c>
      <c r="K17" s="8" t="s">
        <v>134</v>
      </c>
    </row>
    <row r="18" customFormat="false" ht="32.8" hidden="false" customHeight="false" outlineLevel="0" collapsed="false">
      <c r="A18" s="7" t="s">
        <v>135</v>
      </c>
      <c r="B18" s="8" t="s">
        <v>109</v>
      </c>
      <c r="C18" s="8" t="s">
        <v>136</v>
      </c>
      <c r="D18" s="8" t="s">
        <v>137</v>
      </c>
      <c r="E18" s="7" t="s">
        <v>49</v>
      </c>
      <c r="F18" s="8" t="s">
        <v>78</v>
      </c>
      <c r="G18" s="8" t="s">
        <v>113</v>
      </c>
      <c r="H18" s="7" t="s">
        <v>52</v>
      </c>
      <c r="I18" s="8" t="s">
        <v>138</v>
      </c>
      <c r="J18" s="8" t="s">
        <v>139</v>
      </c>
      <c r="K18" s="8" t="s">
        <v>140</v>
      </c>
    </row>
    <row r="19" customFormat="false" ht="22.35" hidden="false" customHeight="false" outlineLevel="0" collapsed="false">
      <c r="A19" s="7" t="s">
        <v>141</v>
      </c>
      <c r="B19" s="8" t="s">
        <v>142</v>
      </c>
      <c r="C19" s="8" t="s">
        <v>143</v>
      </c>
      <c r="D19" s="8" t="s">
        <v>144</v>
      </c>
      <c r="E19" s="7" t="s">
        <v>49</v>
      </c>
      <c r="F19" s="8" t="s">
        <v>112</v>
      </c>
      <c r="G19" s="8" t="s">
        <v>113</v>
      </c>
      <c r="H19" s="7" t="s">
        <v>52</v>
      </c>
      <c r="I19" s="8" t="s">
        <v>145</v>
      </c>
      <c r="J19" s="8" t="s">
        <v>146</v>
      </c>
      <c r="K19" s="8" t="s">
        <v>147</v>
      </c>
    </row>
    <row r="20" customFormat="false" ht="22.35" hidden="false" customHeight="false" outlineLevel="0" collapsed="false">
      <c r="A20" s="7" t="s">
        <v>148</v>
      </c>
      <c r="B20" s="8" t="s">
        <v>142</v>
      </c>
      <c r="C20" s="8" t="s">
        <v>149</v>
      </c>
      <c r="D20" s="8" t="s">
        <v>150</v>
      </c>
      <c r="E20" s="7" t="s">
        <v>49</v>
      </c>
      <c r="F20" s="8" t="s">
        <v>112</v>
      </c>
      <c r="G20" s="8" t="s">
        <v>113</v>
      </c>
      <c r="H20" s="7" t="s">
        <v>52</v>
      </c>
      <c r="I20" s="8" t="s">
        <v>151</v>
      </c>
      <c r="J20" s="8" t="s">
        <v>152</v>
      </c>
      <c r="K20" s="8" t="s">
        <v>153</v>
      </c>
    </row>
    <row r="21" customFormat="false" ht="22.35" hidden="false" customHeight="false" outlineLevel="0" collapsed="false">
      <c r="A21" s="7" t="s">
        <v>154</v>
      </c>
      <c r="B21" s="8" t="s">
        <v>142</v>
      </c>
      <c r="C21" s="8" t="s">
        <v>155</v>
      </c>
      <c r="D21" s="8" t="s">
        <v>156</v>
      </c>
      <c r="E21" s="7" t="s">
        <v>49</v>
      </c>
      <c r="F21" s="8" t="s">
        <v>112</v>
      </c>
      <c r="G21" s="8" t="s">
        <v>113</v>
      </c>
      <c r="H21" s="7" t="s">
        <v>52</v>
      </c>
      <c r="I21" s="8" t="s">
        <v>157</v>
      </c>
      <c r="J21" s="8" t="s">
        <v>158</v>
      </c>
      <c r="K21" s="8" t="s">
        <v>159</v>
      </c>
    </row>
    <row r="22" customFormat="false" ht="22.35" hidden="false" customHeight="false" outlineLevel="0" collapsed="false">
      <c r="A22" s="7" t="s">
        <v>160</v>
      </c>
      <c r="B22" s="8" t="s">
        <v>142</v>
      </c>
      <c r="C22" s="8" t="s">
        <v>161</v>
      </c>
      <c r="D22" s="8" t="s">
        <v>162</v>
      </c>
      <c r="E22" s="7" t="s">
        <v>49</v>
      </c>
      <c r="F22" s="8" t="s">
        <v>50</v>
      </c>
      <c r="G22" s="8" t="s">
        <v>113</v>
      </c>
      <c r="H22" s="7" t="s">
        <v>52</v>
      </c>
      <c r="I22" s="8" t="s">
        <v>163</v>
      </c>
      <c r="J22" s="8" t="s">
        <v>164</v>
      </c>
      <c r="K22" s="8" t="s">
        <v>165</v>
      </c>
    </row>
    <row r="23" customFormat="false" ht="22.35" hidden="false" customHeight="false" outlineLevel="0" collapsed="false">
      <c r="A23" s="7" t="s">
        <v>166</v>
      </c>
      <c r="B23" s="8" t="s">
        <v>167</v>
      </c>
      <c r="C23" s="8" t="s">
        <v>168</v>
      </c>
      <c r="D23" s="8" t="s">
        <v>169</v>
      </c>
      <c r="E23" s="7" t="s">
        <v>49</v>
      </c>
      <c r="F23" s="8" t="s">
        <v>50</v>
      </c>
      <c r="G23" s="8" t="s">
        <v>170</v>
      </c>
      <c r="H23" s="7" t="s">
        <v>52</v>
      </c>
      <c r="I23" s="8" t="s">
        <v>171</v>
      </c>
      <c r="J23" s="8" t="s">
        <v>172</v>
      </c>
      <c r="K23" s="8" t="s">
        <v>173</v>
      </c>
    </row>
    <row r="24" customFormat="false" ht="22.35" hidden="false" customHeight="false" outlineLevel="0" collapsed="false">
      <c r="A24" s="7" t="s">
        <v>174</v>
      </c>
      <c r="B24" s="8" t="s">
        <v>167</v>
      </c>
      <c r="C24" s="8" t="s">
        <v>175</v>
      </c>
      <c r="D24" s="8" t="s">
        <v>176</v>
      </c>
      <c r="E24" s="7" t="s">
        <v>49</v>
      </c>
      <c r="F24" s="8" t="s">
        <v>50</v>
      </c>
      <c r="G24" s="8" t="s">
        <v>170</v>
      </c>
      <c r="H24" s="7" t="s">
        <v>52</v>
      </c>
      <c r="I24" s="8" t="s">
        <v>177</v>
      </c>
      <c r="J24" s="8" t="s">
        <v>178</v>
      </c>
      <c r="K24" s="8" t="s">
        <v>179</v>
      </c>
    </row>
    <row r="25" customFormat="false" ht="22.35" hidden="false" customHeight="false" outlineLevel="0" collapsed="false">
      <c r="A25" s="7" t="s">
        <v>180</v>
      </c>
      <c r="B25" s="8" t="s">
        <v>167</v>
      </c>
      <c r="C25" s="8" t="s">
        <v>181</v>
      </c>
      <c r="D25" s="8" t="s">
        <v>182</v>
      </c>
      <c r="E25" s="7" t="s">
        <v>183</v>
      </c>
      <c r="F25" s="8" t="s">
        <v>50</v>
      </c>
      <c r="G25" s="8" t="s">
        <v>170</v>
      </c>
      <c r="H25" s="7" t="s">
        <v>52</v>
      </c>
      <c r="I25" s="8" t="s">
        <v>184</v>
      </c>
      <c r="J25" s="8" t="s">
        <v>185</v>
      </c>
      <c r="K25" s="8" t="s">
        <v>186</v>
      </c>
    </row>
    <row r="26" customFormat="false" ht="22.35" hidden="false" customHeight="false" outlineLevel="0" collapsed="false">
      <c r="A26" s="7" t="s">
        <v>187</v>
      </c>
      <c r="B26" s="8" t="s">
        <v>167</v>
      </c>
      <c r="C26" s="8" t="s">
        <v>188</v>
      </c>
      <c r="D26" s="8" t="s">
        <v>189</v>
      </c>
      <c r="E26" s="7" t="s">
        <v>49</v>
      </c>
      <c r="F26" s="8" t="s">
        <v>50</v>
      </c>
      <c r="G26" s="8" t="s">
        <v>170</v>
      </c>
      <c r="H26" s="7" t="s">
        <v>52</v>
      </c>
      <c r="I26" s="8" t="s">
        <v>190</v>
      </c>
      <c r="J26" s="8" t="s">
        <v>191</v>
      </c>
      <c r="K26" s="8" t="s">
        <v>192</v>
      </c>
    </row>
    <row r="27" customFormat="false" ht="22.35" hidden="false" customHeight="false" outlineLevel="0" collapsed="false">
      <c r="A27" s="7" t="s">
        <v>193</v>
      </c>
      <c r="B27" s="8" t="s">
        <v>167</v>
      </c>
      <c r="C27" s="8" t="s">
        <v>194</v>
      </c>
      <c r="D27" s="8" t="s">
        <v>195</v>
      </c>
      <c r="E27" s="7" t="s">
        <v>183</v>
      </c>
      <c r="F27" s="8" t="s">
        <v>50</v>
      </c>
      <c r="G27" s="8" t="s">
        <v>170</v>
      </c>
      <c r="H27" s="7" t="s">
        <v>52</v>
      </c>
      <c r="I27" s="8" t="s">
        <v>196</v>
      </c>
      <c r="J27" s="8" t="s">
        <v>197</v>
      </c>
      <c r="K27" s="8" t="s">
        <v>198</v>
      </c>
    </row>
    <row r="28" customFormat="false" ht="22.35" hidden="false" customHeight="false" outlineLevel="0" collapsed="false">
      <c r="A28" s="7" t="s">
        <v>199</v>
      </c>
      <c r="B28" s="8" t="s">
        <v>167</v>
      </c>
      <c r="C28" s="8" t="s">
        <v>200</v>
      </c>
      <c r="D28" s="8" t="s">
        <v>201</v>
      </c>
      <c r="E28" s="7" t="s">
        <v>49</v>
      </c>
      <c r="F28" s="8" t="s">
        <v>112</v>
      </c>
      <c r="G28" s="8" t="s">
        <v>170</v>
      </c>
      <c r="H28" s="7" t="s">
        <v>52</v>
      </c>
      <c r="I28" s="8" t="s">
        <v>202</v>
      </c>
      <c r="J28" s="8" t="s">
        <v>203</v>
      </c>
      <c r="K28" s="8" t="s">
        <v>204</v>
      </c>
    </row>
    <row r="29" customFormat="false" ht="22.35" hidden="false" customHeight="false" outlineLevel="0" collapsed="false">
      <c r="A29" s="7" t="s">
        <v>205</v>
      </c>
      <c r="B29" s="8" t="s">
        <v>206</v>
      </c>
      <c r="C29" s="8" t="s">
        <v>207</v>
      </c>
      <c r="D29" s="8" t="s">
        <v>208</v>
      </c>
      <c r="E29" s="7" t="s">
        <v>49</v>
      </c>
      <c r="F29" s="8" t="s">
        <v>50</v>
      </c>
      <c r="G29" s="8" t="s">
        <v>209</v>
      </c>
      <c r="H29" s="7" t="s">
        <v>52</v>
      </c>
      <c r="I29" s="8" t="s">
        <v>210</v>
      </c>
      <c r="J29" s="8" t="s">
        <v>211</v>
      </c>
      <c r="K29" s="8" t="s">
        <v>212</v>
      </c>
    </row>
    <row r="30" customFormat="false" ht="22.35" hidden="false" customHeight="false" outlineLevel="0" collapsed="false">
      <c r="A30" s="7" t="s">
        <v>213</v>
      </c>
      <c r="B30" s="8" t="s">
        <v>206</v>
      </c>
      <c r="C30" s="8" t="s">
        <v>214</v>
      </c>
      <c r="D30" s="8" t="s">
        <v>215</v>
      </c>
      <c r="E30" s="7" t="s">
        <v>49</v>
      </c>
      <c r="F30" s="8" t="s">
        <v>50</v>
      </c>
      <c r="G30" s="8" t="s">
        <v>209</v>
      </c>
      <c r="H30" s="7" t="s">
        <v>52</v>
      </c>
      <c r="I30" s="8" t="s">
        <v>216</v>
      </c>
      <c r="J30" s="8" t="s">
        <v>217</v>
      </c>
      <c r="K30" s="8" t="s">
        <v>218</v>
      </c>
    </row>
    <row r="31" customFormat="false" ht="22.35" hidden="false" customHeight="false" outlineLevel="0" collapsed="false">
      <c r="A31" s="7" t="s">
        <v>219</v>
      </c>
      <c r="B31" s="8" t="s">
        <v>206</v>
      </c>
      <c r="C31" s="8" t="s">
        <v>220</v>
      </c>
      <c r="D31" s="8" t="s">
        <v>221</v>
      </c>
      <c r="E31" s="7" t="s">
        <v>49</v>
      </c>
      <c r="F31" s="8" t="s">
        <v>50</v>
      </c>
      <c r="G31" s="8" t="s">
        <v>209</v>
      </c>
      <c r="H31" s="7" t="s">
        <v>52</v>
      </c>
      <c r="I31" s="8" t="s">
        <v>222</v>
      </c>
      <c r="J31" s="8" t="s">
        <v>223</v>
      </c>
      <c r="K31" s="8" t="s">
        <v>224</v>
      </c>
    </row>
    <row r="32" customFormat="false" ht="22.35" hidden="false" customHeight="false" outlineLevel="0" collapsed="false">
      <c r="A32" s="7" t="s">
        <v>225</v>
      </c>
      <c r="B32" s="8" t="s">
        <v>206</v>
      </c>
      <c r="C32" s="8" t="s">
        <v>226</v>
      </c>
      <c r="D32" s="8" t="s">
        <v>227</v>
      </c>
      <c r="E32" s="7" t="s">
        <v>49</v>
      </c>
      <c r="F32" s="8" t="s">
        <v>228</v>
      </c>
      <c r="G32" s="8" t="s">
        <v>209</v>
      </c>
      <c r="H32" s="7" t="s">
        <v>52</v>
      </c>
      <c r="I32" s="8" t="s">
        <v>229</v>
      </c>
      <c r="J32" s="8" t="s">
        <v>230</v>
      </c>
      <c r="K32" s="8" t="s">
        <v>231</v>
      </c>
    </row>
    <row r="33" customFormat="false" ht="22.35" hidden="false" customHeight="false" outlineLevel="0" collapsed="false">
      <c r="A33" s="9" t="s">
        <v>232</v>
      </c>
      <c r="B33" s="10" t="s">
        <v>233</v>
      </c>
      <c r="C33" s="10" t="s">
        <v>234</v>
      </c>
      <c r="D33" s="10" t="s">
        <v>235</v>
      </c>
      <c r="E33" s="9" t="s">
        <v>183</v>
      </c>
      <c r="F33" s="10" t="s">
        <v>50</v>
      </c>
      <c r="G33" s="10" t="s">
        <v>170</v>
      </c>
      <c r="H33" s="9" t="s">
        <v>65</v>
      </c>
      <c r="I33" s="10" t="s">
        <v>236</v>
      </c>
      <c r="J33" s="10" t="s">
        <v>237</v>
      </c>
      <c r="K33" s="10" t="s">
        <v>238</v>
      </c>
    </row>
    <row r="34" customFormat="false" ht="22.35" hidden="false" customHeight="false" outlineLevel="0" collapsed="false">
      <c r="A34" s="9" t="s">
        <v>239</v>
      </c>
      <c r="B34" s="10" t="s">
        <v>233</v>
      </c>
      <c r="C34" s="10" t="s">
        <v>240</v>
      </c>
      <c r="D34" s="10" t="s">
        <v>241</v>
      </c>
      <c r="E34" s="9" t="s">
        <v>183</v>
      </c>
      <c r="F34" s="10" t="s">
        <v>50</v>
      </c>
      <c r="G34" s="10" t="s">
        <v>170</v>
      </c>
      <c r="H34" s="9" t="s">
        <v>65</v>
      </c>
      <c r="I34" s="10" t="s">
        <v>242</v>
      </c>
      <c r="J34" s="10" t="s">
        <v>243</v>
      </c>
      <c r="K34" s="10" t="s">
        <v>244</v>
      </c>
    </row>
    <row r="35" customFormat="false" ht="22.35" hidden="false" customHeight="false" outlineLevel="0" collapsed="false">
      <c r="A35" s="9" t="s">
        <v>245</v>
      </c>
      <c r="B35" s="10" t="s">
        <v>233</v>
      </c>
      <c r="C35" s="10" t="s">
        <v>246</v>
      </c>
      <c r="D35" s="10" t="s">
        <v>247</v>
      </c>
      <c r="E35" s="9" t="s">
        <v>183</v>
      </c>
      <c r="F35" s="10" t="s">
        <v>50</v>
      </c>
      <c r="G35" s="10" t="s">
        <v>170</v>
      </c>
      <c r="H35" s="9" t="s">
        <v>65</v>
      </c>
      <c r="I35" s="10" t="s">
        <v>248</v>
      </c>
      <c r="J35" s="10" t="s">
        <v>249</v>
      </c>
      <c r="K35" s="10" t="s">
        <v>250</v>
      </c>
    </row>
    <row r="36" customFormat="false" ht="32.8" hidden="false" customHeight="false" outlineLevel="0" collapsed="false">
      <c r="A36" s="7" t="s">
        <v>251</v>
      </c>
      <c r="B36" s="8" t="s">
        <v>233</v>
      </c>
      <c r="C36" s="8" t="s">
        <v>252</v>
      </c>
      <c r="D36" s="8" t="s">
        <v>253</v>
      </c>
      <c r="E36" s="7" t="s">
        <v>183</v>
      </c>
      <c r="F36" s="8" t="s">
        <v>103</v>
      </c>
      <c r="G36" s="8" t="s">
        <v>104</v>
      </c>
      <c r="H36" s="7" t="s">
        <v>52</v>
      </c>
      <c r="I36" s="8" t="s">
        <v>254</v>
      </c>
      <c r="J36" s="8" t="s">
        <v>255</v>
      </c>
      <c r="K36" s="8" t="s">
        <v>256</v>
      </c>
    </row>
    <row r="37" customFormat="false" ht="22.35" hidden="false" customHeight="false" outlineLevel="0" collapsed="false">
      <c r="A37" s="7" t="s">
        <v>257</v>
      </c>
      <c r="B37" s="8" t="s">
        <v>233</v>
      </c>
      <c r="C37" s="8" t="s">
        <v>258</v>
      </c>
      <c r="D37" s="8" t="s">
        <v>259</v>
      </c>
      <c r="E37" s="7" t="s">
        <v>183</v>
      </c>
      <c r="F37" s="8" t="s">
        <v>50</v>
      </c>
      <c r="G37" s="8" t="s">
        <v>170</v>
      </c>
      <c r="H37" s="7" t="s">
        <v>52</v>
      </c>
      <c r="I37" s="8" t="s">
        <v>260</v>
      </c>
      <c r="J37" s="8" t="s">
        <v>261</v>
      </c>
      <c r="K37" s="8" t="s">
        <v>262</v>
      </c>
    </row>
    <row r="38" customFormat="false" ht="22.35" hidden="false" customHeight="false" outlineLevel="0" collapsed="false">
      <c r="A38" s="7" t="s">
        <v>263</v>
      </c>
      <c r="B38" s="8" t="s">
        <v>233</v>
      </c>
      <c r="C38" s="8" t="s">
        <v>264</v>
      </c>
      <c r="D38" s="8" t="s">
        <v>265</v>
      </c>
      <c r="E38" s="7" t="s">
        <v>183</v>
      </c>
      <c r="F38" s="8" t="s">
        <v>50</v>
      </c>
      <c r="G38" s="8" t="s">
        <v>170</v>
      </c>
      <c r="H38" s="7" t="s">
        <v>52</v>
      </c>
      <c r="I38" s="8" t="s">
        <v>266</v>
      </c>
      <c r="J38" s="8" t="s">
        <v>267</v>
      </c>
      <c r="K38" s="8" t="s">
        <v>268</v>
      </c>
    </row>
    <row r="39" customFormat="false" ht="22.35" hidden="false" customHeight="false" outlineLevel="0" collapsed="false">
      <c r="A39" s="7" t="s">
        <v>269</v>
      </c>
      <c r="B39" s="8" t="s">
        <v>233</v>
      </c>
      <c r="C39" s="8" t="s">
        <v>270</v>
      </c>
      <c r="D39" s="8" t="s">
        <v>271</v>
      </c>
      <c r="E39" s="7" t="s">
        <v>183</v>
      </c>
      <c r="F39" s="8" t="s">
        <v>50</v>
      </c>
      <c r="G39" s="8" t="s">
        <v>170</v>
      </c>
      <c r="H39" s="7" t="s">
        <v>52</v>
      </c>
      <c r="I39" s="8" t="s">
        <v>272</v>
      </c>
      <c r="J39" s="8" t="s">
        <v>273</v>
      </c>
      <c r="K39" s="8" t="s">
        <v>274</v>
      </c>
    </row>
    <row r="40" customFormat="false" ht="22.35" hidden="false" customHeight="false" outlineLevel="0" collapsed="false">
      <c r="A40" s="9" t="s">
        <v>275</v>
      </c>
      <c r="B40" s="10" t="s">
        <v>233</v>
      </c>
      <c r="C40" s="10" t="s">
        <v>276</v>
      </c>
      <c r="D40" s="10" t="s">
        <v>277</v>
      </c>
      <c r="E40" s="9" t="s">
        <v>183</v>
      </c>
      <c r="F40" s="10" t="s">
        <v>228</v>
      </c>
      <c r="G40" s="10" t="s">
        <v>209</v>
      </c>
      <c r="H40" s="9" t="s">
        <v>65</v>
      </c>
      <c r="I40" s="10" t="s">
        <v>278</v>
      </c>
      <c r="J40" s="10" t="s">
        <v>279</v>
      </c>
      <c r="K40" s="10" t="s">
        <v>280</v>
      </c>
    </row>
    <row r="42" customFormat="false" ht="15" hidden="false" customHeight="false" outlineLevel="0" collapsed="false">
      <c r="A42" s="11" t="s">
        <v>281</v>
      </c>
    </row>
  </sheetData>
  <autoFilter ref="A4:K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12.6328125" defaultRowHeight="15.7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52"/>
    <col collapsed="false" customWidth="true" hidden="false" outlineLevel="0" max="4" min="4" style="0" width="18"/>
    <col collapsed="false" customWidth="true" hidden="false" outlineLevel="0" max="6" min="5" style="0" width="20"/>
    <col collapsed="false" customWidth="true" hidden="false" outlineLevel="0" max="7" min="7" style="0" width="7"/>
    <col collapsed="false" customWidth="true" hidden="false" outlineLevel="0" max="8" min="8" style="0" width="26"/>
    <col collapsed="false" customWidth="true" hidden="false" outlineLevel="0" max="9" min="9" style="0" width="62"/>
    <col collapsed="false" customWidth="true" hidden="false" outlineLevel="0" max="10" min="10" style="0" width="36"/>
    <col collapsed="false" customWidth="true" hidden="false" outlineLevel="0" max="11" min="11" style="0" width="40"/>
    <col collapsed="false" customWidth="true" hidden="false" outlineLevel="0" max="12" min="12" style="0" width="17"/>
    <col collapsed="false" customWidth="true" hidden="false" outlineLevel="0" max="13" min="13" style="0" width="38"/>
    <col collapsed="false" customWidth="true" hidden="false" outlineLevel="0" max="14" min="14" style="0" width="14"/>
    <col collapsed="false" customWidth="true" hidden="false" outlineLevel="0" max="15" min="15" style="0" width="10"/>
    <col collapsed="false" customWidth="true" hidden="false" outlineLevel="0" max="16" min="16" style="0" width="46"/>
    <col collapsed="false" customWidth="true" hidden="false" outlineLevel="0" max="17" min="17" style="0" width="12"/>
    <col collapsed="false" customWidth="true" hidden="false" outlineLevel="0" max="18" min="18" style="0" width="40"/>
    <col collapsed="false" customWidth="true" hidden="false" outlineLevel="0" max="19" min="19" style="0" width="11"/>
    <col collapsed="false" customWidth="true" hidden="false" outlineLevel="0" max="20" min="20" style="0" width="14"/>
  </cols>
  <sheetData>
    <row r="1" customFormat="false" ht="43.5" hidden="false" customHeight="true" outlineLevel="0" collapsed="false">
      <c r="A1" s="6" t="s">
        <v>282</v>
      </c>
      <c r="B1" s="6" t="s">
        <v>283</v>
      </c>
      <c r="C1" s="6" t="s">
        <v>284</v>
      </c>
      <c r="D1" s="6" t="s">
        <v>285</v>
      </c>
      <c r="E1" s="6" t="s">
        <v>286</v>
      </c>
      <c r="F1" s="6" t="s">
        <v>287</v>
      </c>
      <c r="G1" s="6" t="s">
        <v>288</v>
      </c>
      <c r="H1" s="6" t="s">
        <v>289</v>
      </c>
      <c r="I1" s="6" t="s">
        <v>290</v>
      </c>
      <c r="J1" s="6" t="s">
        <v>291</v>
      </c>
      <c r="K1" s="6" t="s">
        <v>292</v>
      </c>
      <c r="L1" s="6" t="s">
        <v>293</v>
      </c>
      <c r="M1" s="6" t="s">
        <v>294</v>
      </c>
      <c r="N1" s="6" t="s">
        <v>295</v>
      </c>
      <c r="O1" s="6" t="s">
        <v>296</v>
      </c>
      <c r="P1" s="6" t="s">
        <v>297</v>
      </c>
      <c r="Q1" s="6" t="s">
        <v>298</v>
      </c>
      <c r="R1" s="6" t="s">
        <v>299</v>
      </c>
      <c r="S1" s="6" t="s">
        <v>300</v>
      </c>
      <c r="T1" s="6" t="s">
        <v>301</v>
      </c>
    </row>
    <row r="2" customFormat="false" ht="32.8" hidden="false" customHeight="false" outlineLevel="0" collapsed="false">
      <c r="A2" s="7" t="n">
        <v>281</v>
      </c>
      <c r="B2" s="8" t="s">
        <v>302</v>
      </c>
      <c r="C2" s="8" t="s">
        <v>303</v>
      </c>
      <c r="D2" s="8" t="s">
        <v>304</v>
      </c>
      <c r="E2" s="8" t="s">
        <v>305</v>
      </c>
      <c r="F2" s="8" t="s">
        <v>306</v>
      </c>
      <c r="G2" s="7" t="s">
        <v>307</v>
      </c>
      <c r="H2" s="8" t="s">
        <v>308</v>
      </c>
      <c r="I2" s="8" t="s">
        <v>309</v>
      </c>
      <c r="J2" s="8" t="s">
        <v>310</v>
      </c>
      <c r="K2" s="8" t="s">
        <v>311</v>
      </c>
      <c r="L2" s="8" t="s">
        <v>312</v>
      </c>
      <c r="M2" s="8" t="s">
        <v>313</v>
      </c>
      <c r="N2" s="8"/>
      <c r="O2" s="7" t="n">
        <v>2</v>
      </c>
      <c r="P2" s="8" t="s">
        <v>314</v>
      </c>
      <c r="Q2" s="7" t="s">
        <v>315</v>
      </c>
      <c r="R2" s="8" t="s">
        <v>316</v>
      </c>
      <c r="S2" s="7" t="n">
        <v>3</v>
      </c>
      <c r="T2" s="12" t="s">
        <v>317</v>
      </c>
    </row>
    <row r="3" customFormat="false" ht="22.35" hidden="false" customHeight="false" outlineLevel="0" collapsed="false">
      <c r="A3" s="7" t="n">
        <v>285</v>
      </c>
      <c r="B3" s="8" t="s">
        <v>318</v>
      </c>
      <c r="C3" s="8" t="s">
        <v>319</v>
      </c>
      <c r="D3" s="8" t="s">
        <v>304</v>
      </c>
      <c r="E3" s="8" t="s">
        <v>320</v>
      </c>
      <c r="F3" s="8" t="s">
        <v>321</v>
      </c>
      <c r="G3" s="7" t="s">
        <v>322</v>
      </c>
      <c r="H3" s="8" t="s">
        <v>323</v>
      </c>
      <c r="I3" s="8" t="s">
        <v>324</v>
      </c>
      <c r="J3" s="8" t="s">
        <v>325</v>
      </c>
      <c r="K3" s="8" t="s">
        <v>326</v>
      </c>
      <c r="L3" s="8" t="s">
        <v>312</v>
      </c>
      <c r="M3" s="8" t="s">
        <v>327</v>
      </c>
      <c r="N3" s="8" t="s">
        <v>328</v>
      </c>
      <c r="O3" s="7" t="n">
        <v>3</v>
      </c>
      <c r="P3" s="8" t="s">
        <v>329</v>
      </c>
      <c r="Q3" s="7" t="s">
        <v>330</v>
      </c>
      <c r="R3" s="8"/>
      <c r="S3" s="7" t="n">
        <v>1</v>
      </c>
      <c r="T3" s="12" t="s">
        <v>317</v>
      </c>
    </row>
    <row r="4" customFormat="false" ht="32.8" hidden="false" customHeight="false" outlineLevel="0" collapsed="false">
      <c r="A4" s="7" t="n">
        <v>292</v>
      </c>
      <c r="B4" s="8" t="s">
        <v>331</v>
      </c>
      <c r="C4" s="8" t="s">
        <v>332</v>
      </c>
      <c r="D4" s="8" t="s">
        <v>304</v>
      </c>
      <c r="E4" s="8" t="s">
        <v>333</v>
      </c>
      <c r="F4" s="8" t="s">
        <v>334</v>
      </c>
      <c r="G4" s="7" t="s">
        <v>307</v>
      </c>
      <c r="H4" s="8" t="s">
        <v>335</v>
      </c>
      <c r="I4" s="8" t="s">
        <v>336</v>
      </c>
      <c r="J4" s="8" t="s">
        <v>337</v>
      </c>
      <c r="K4" s="8" t="s">
        <v>338</v>
      </c>
      <c r="L4" s="8" t="s">
        <v>339</v>
      </c>
      <c r="M4" s="8" t="s">
        <v>340</v>
      </c>
      <c r="N4" s="8"/>
      <c r="O4" s="7"/>
      <c r="P4" s="8"/>
      <c r="Q4" s="7" t="s">
        <v>315</v>
      </c>
      <c r="R4" s="8" t="s">
        <v>341</v>
      </c>
      <c r="S4" s="7" t="n">
        <v>19</v>
      </c>
      <c r="T4" s="12" t="s">
        <v>317</v>
      </c>
    </row>
    <row r="5" customFormat="false" ht="32.8" hidden="false" customHeight="false" outlineLevel="0" collapsed="false">
      <c r="A5" s="7" t="n">
        <v>309</v>
      </c>
      <c r="B5" s="8" t="s">
        <v>342</v>
      </c>
      <c r="C5" s="8" t="s">
        <v>343</v>
      </c>
      <c r="D5" s="8" t="s">
        <v>304</v>
      </c>
      <c r="E5" s="8" t="s">
        <v>344</v>
      </c>
      <c r="F5" s="8" t="s">
        <v>345</v>
      </c>
      <c r="G5" s="7" t="s">
        <v>307</v>
      </c>
      <c r="H5" s="8" t="s">
        <v>346</v>
      </c>
      <c r="I5" s="8" t="s">
        <v>347</v>
      </c>
      <c r="J5" s="8" t="s">
        <v>348</v>
      </c>
      <c r="K5" s="8" t="s">
        <v>349</v>
      </c>
      <c r="L5" s="8" t="s">
        <v>350</v>
      </c>
      <c r="M5" s="8" t="s">
        <v>351</v>
      </c>
      <c r="N5" s="8" t="s">
        <v>352</v>
      </c>
      <c r="O5" s="7"/>
      <c r="P5" s="8"/>
      <c r="Q5" s="7" t="s">
        <v>330</v>
      </c>
      <c r="R5" s="8" t="s">
        <v>353</v>
      </c>
      <c r="S5" s="7" t="n">
        <v>6</v>
      </c>
      <c r="T5" s="12" t="s">
        <v>317</v>
      </c>
    </row>
    <row r="6" customFormat="false" ht="32.8" hidden="false" customHeight="false" outlineLevel="0" collapsed="false">
      <c r="A6" s="7" t="n">
        <v>347</v>
      </c>
      <c r="B6" s="8" t="s">
        <v>354</v>
      </c>
      <c r="C6" s="8" t="s">
        <v>355</v>
      </c>
      <c r="D6" s="8" t="s">
        <v>304</v>
      </c>
      <c r="E6" s="8" t="s">
        <v>356</v>
      </c>
      <c r="F6" s="8" t="s">
        <v>357</v>
      </c>
      <c r="G6" s="7" t="s">
        <v>307</v>
      </c>
      <c r="H6" s="8" t="s">
        <v>358</v>
      </c>
      <c r="I6" s="8" t="s">
        <v>359</v>
      </c>
      <c r="J6" s="8" t="s">
        <v>360</v>
      </c>
      <c r="K6" s="8" t="s">
        <v>361</v>
      </c>
      <c r="L6" s="8" t="s">
        <v>339</v>
      </c>
      <c r="M6" s="8" t="s">
        <v>362</v>
      </c>
      <c r="N6" s="8"/>
      <c r="O6" s="7" t="n">
        <v>2</v>
      </c>
      <c r="P6" s="8" t="s">
        <v>363</v>
      </c>
      <c r="Q6" s="7" t="s">
        <v>315</v>
      </c>
      <c r="R6" s="8" t="s">
        <v>364</v>
      </c>
      <c r="S6" s="7" t="n">
        <v>1</v>
      </c>
      <c r="T6" s="12" t="s">
        <v>317</v>
      </c>
    </row>
    <row r="7" customFormat="false" ht="32.8" hidden="false" customHeight="false" outlineLevel="0" collapsed="false">
      <c r="A7" s="7" t="n">
        <v>348</v>
      </c>
      <c r="B7" s="8" t="s">
        <v>365</v>
      </c>
      <c r="C7" s="8" t="s">
        <v>366</v>
      </c>
      <c r="D7" s="8" t="s">
        <v>304</v>
      </c>
      <c r="E7" s="8" t="s">
        <v>367</v>
      </c>
      <c r="F7" s="8" t="s">
        <v>368</v>
      </c>
      <c r="G7" s="7" t="s">
        <v>307</v>
      </c>
      <c r="H7" s="8" t="s">
        <v>369</v>
      </c>
      <c r="I7" s="8" t="s">
        <v>370</v>
      </c>
      <c r="J7" s="8" t="s">
        <v>371</v>
      </c>
      <c r="K7" s="8" t="s">
        <v>372</v>
      </c>
      <c r="L7" s="8" t="s">
        <v>373</v>
      </c>
      <c r="M7" s="8" t="s">
        <v>374</v>
      </c>
      <c r="N7" s="8"/>
      <c r="O7" s="7" t="n">
        <v>3</v>
      </c>
      <c r="P7" s="8" t="s">
        <v>375</v>
      </c>
      <c r="Q7" s="7" t="s">
        <v>330</v>
      </c>
      <c r="R7" s="8"/>
      <c r="S7" s="7" t="n">
        <v>1</v>
      </c>
      <c r="T7" s="12" t="s">
        <v>317</v>
      </c>
    </row>
    <row r="8" customFormat="false" ht="22.35" hidden="false" customHeight="false" outlineLevel="0" collapsed="false">
      <c r="A8" s="7" t="n">
        <v>280</v>
      </c>
      <c r="B8" s="8" t="s">
        <v>376</v>
      </c>
      <c r="C8" s="8" t="s">
        <v>377</v>
      </c>
      <c r="D8" s="8" t="s">
        <v>378</v>
      </c>
      <c r="E8" s="8" t="s">
        <v>379</v>
      </c>
      <c r="F8" s="8" t="s">
        <v>380</v>
      </c>
      <c r="G8" s="7" t="s">
        <v>307</v>
      </c>
      <c r="H8" s="8" t="s">
        <v>381</v>
      </c>
      <c r="I8" s="8" t="s">
        <v>382</v>
      </c>
      <c r="J8" s="8" t="s">
        <v>383</v>
      </c>
      <c r="K8" s="8" t="s">
        <v>384</v>
      </c>
      <c r="L8" s="8" t="s">
        <v>385</v>
      </c>
      <c r="M8" s="8" t="s">
        <v>386</v>
      </c>
      <c r="N8" s="8"/>
      <c r="O8" s="7" t="n">
        <v>1</v>
      </c>
      <c r="P8" s="8" t="s">
        <v>387</v>
      </c>
      <c r="Q8" s="7" t="s">
        <v>330</v>
      </c>
      <c r="R8" s="8"/>
      <c r="S8" s="7" t="n">
        <v>2</v>
      </c>
      <c r="T8" s="12" t="s">
        <v>317</v>
      </c>
    </row>
    <row r="9" customFormat="false" ht="53.7" hidden="false" customHeight="false" outlineLevel="0" collapsed="false">
      <c r="A9" s="7" t="n">
        <v>288</v>
      </c>
      <c r="B9" s="8" t="s">
        <v>388</v>
      </c>
      <c r="C9" s="8" t="s">
        <v>389</v>
      </c>
      <c r="D9" s="8" t="s">
        <v>378</v>
      </c>
      <c r="E9" s="8" t="s">
        <v>390</v>
      </c>
      <c r="F9" s="8" t="s">
        <v>391</v>
      </c>
      <c r="G9" s="7" t="s">
        <v>307</v>
      </c>
      <c r="H9" s="8" t="s">
        <v>392</v>
      </c>
      <c r="I9" s="8" t="s">
        <v>393</v>
      </c>
      <c r="J9" s="8" t="s">
        <v>394</v>
      </c>
      <c r="K9" s="8" t="s">
        <v>395</v>
      </c>
      <c r="L9" s="8" t="s">
        <v>339</v>
      </c>
      <c r="M9" s="8" t="s">
        <v>396</v>
      </c>
      <c r="N9" s="8" t="s">
        <v>397</v>
      </c>
      <c r="O9" s="7" t="n">
        <v>2</v>
      </c>
      <c r="P9" s="8" t="s">
        <v>398</v>
      </c>
      <c r="Q9" s="7" t="s">
        <v>330</v>
      </c>
      <c r="R9" s="8"/>
      <c r="S9" s="7" t="n">
        <v>2</v>
      </c>
      <c r="T9" s="12" t="s">
        <v>317</v>
      </c>
    </row>
    <row r="10" customFormat="false" ht="22.35" hidden="false" customHeight="false" outlineLevel="0" collapsed="false">
      <c r="A10" s="7" t="n">
        <v>314</v>
      </c>
      <c r="B10" s="8" t="s">
        <v>342</v>
      </c>
      <c r="C10" s="8" t="s">
        <v>399</v>
      </c>
      <c r="D10" s="8" t="s">
        <v>378</v>
      </c>
      <c r="E10" s="8" t="s">
        <v>344</v>
      </c>
      <c r="F10" s="8" t="s">
        <v>400</v>
      </c>
      <c r="G10" s="7" t="s">
        <v>322</v>
      </c>
      <c r="H10" s="8" t="s">
        <v>401</v>
      </c>
      <c r="I10" s="8" t="s">
        <v>402</v>
      </c>
      <c r="J10" s="8" t="s">
        <v>403</v>
      </c>
      <c r="K10" s="8" t="s">
        <v>404</v>
      </c>
      <c r="L10" s="8" t="s">
        <v>339</v>
      </c>
      <c r="M10" s="8" t="s">
        <v>405</v>
      </c>
      <c r="N10" s="8"/>
      <c r="O10" s="7"/>
      <c r="P10" s="8"/>
      <c r="Q10" s="7" t="s">
        <v>330</v>
      </c>
      <c r="R10" s="8" t="s">
        <v>406</v>
      </c>
      <c r="S10" s="7" t="n">
        <v>6</v>
      </c>
      <c r="T10" s="12" t="s">
        <v>317</v>
      </c>
    </row>
    <row r="11" customFormat="false" ht="43.25" hidden="false" customHeight="false" outlineLevel="0" collapsed="false">
      <c r="A11" s="7" t="n">
        <v>291</v>
      </c>
      <c r="B11" s="8" t="s">
        <v>407</v>
      </c>
      <c r="C11" s="8" t="s">
        <v>408</v>
      </c>
      <c r="D11" s="8" t="s">
        <v>409</v>
      </c>
      <c r="E11" s="8" t="s">
        <v>410</v>
      </c>
      <c r="F11" s="8" t="s">
        <v>411</v>
      </c>
      <c r="G11" s="7" t="s">
        <v>307</v>
      </c>
      <c r="H11" s="8" t="s">
        <v>412</v>
      </c>
      <c r="I11" s="8" t="s">
        <v>413</v>
      </c>
      <c r="J11" s="8" t="s">
        <v>414</v>
      </c>
      <c r="K11" s="8" t="s">
        <v>415</v>
      </c>
      <c r="L11" s="8" t="s">
        <v>373</v>
      </c>
      <c r="M11" s="8" t="s">
        <v>416</v>
      </c>
      <c r="N11" s="8"/>
      <c r="O11" s="7"/>
      <c r="P11" s="8"/>
      <c r="Q11" s="7" t="s">
        <v>330</v>
      </c>
      <c r="R11" s="8"/>
      <c r="S11" s="7" t="n">
        <v>1</v>
      </c>
      <c r="T11" s="12" t="s">
        <v>317</v>
      </c>
    </row>
    <row r="12" customFormat="false" ht="32.8" hidden="false" customHeight="false" outlineLevel="0" collapsed="false">
      <c r="A12" s="7" t="n">
        <v>304</v>
      </c>
      <c r="B12" s="8" t="s">
        <v>417</v>
      </c>
      <c r="C12" s="8" t="s">
        <v>418</v>
      </c>
      <c r="D12" s="8" t="s">
        <v>409</v>
      </c>
      <c r="E12" s="8" t="s">
        <v>419</v>
      </c>
      <c r="F12" s="8" t="s">
        <v>420</v>
      </c>
      <c r="G12" s="7" t="s">
        <v>307</v>
      </c>
      <c r="H12" s="8" t="s">
        <v>421</v>
      </c>
      <c r="I12" s="8" t="s">
        <v>422</v>
      </c>
      <c r="J12" s="8" t="s">
        <v>423</v>
      </c>
      <c r="K12" s="8" t="s">
        <v>424</v>
      </c>
      <c r="L12" s="8" t="s">
        <v>373</v>
      </c>
      <c r="M12" s="8" t="s">
        <v>425</v>
      </c>
      <c r="N12" s="8"/>
      <c r="O12" s="7"/>
      <c r="P12" s="8"/>
      <c r="Q12" s="7" t="s">
        <v>330</v>
      </c>
      <c r="R12" s="8"/>
      <c r="S12" s="7" t="n">
        <v>1</v>
      </c>
      <c r="T12" s="12" t="s">
        <v>317</v>
      </c>
    </row>
    <row r="13" customFormat="false" ht="32.8" hidden="false" customHeight="false" outlineLevel="0" collapsed="false">
      <c r="A13" s="7" t="n">
        <v>305</v>
      </c>
      <c r="B13" s="8" t="s">
        <v>426</v>
      </c>
      <c r="C13" s="8" t="s">
        <v>427</v>
      </c>
      <c r="D13" s="8" t="s">
        <v>409</v>
      </c>
      <c r="E13" s="8" t="s">
        <v>333</v>
      </c>
      <c r="F13" s="8" t="s">
        <v>428</v>
      </c>
      <c r="G13" s="7" t="s">
        <v>322</v>
      </c>
      <c r="H13" s="8" t="s">
        <v>429</v>
      </c>
      <c r="I13" s="8" t="s">
        <v>430</v>
      </c>
      <c r="J13" s="8" t="s">
        <v>431</v>
      </c>
      <c r="K13" s="8" t="s">
        <v>432</v>
      </c>
      <c r="L13" s="8" t="s">
        <v>312</v>
      </c>
      <c r="M13" s="8" t="s">
        <v>433</v>
      </c>
      <c r="N13" s="8" t="s">
        <v>328</v>
      </c>
      <c r="O13" s="7"/>
      <c r="P13" s="8"/>
      <c r="Q13" s="7" t="s">
        <v>315</v>
      </c>
      <c r="R13" s="8" t="s">
        <v>434</v>
      </c>
      <c r="S13" s="7" t="n">
        <v>19</v>
      </c>
      <c r="T13" s="12" t="s">
        <v>317</v>
      </c>
    </row>
    <row r="14" customFormat="false" ht="32.8" hidden="false" customHeight="false" outlineLevel="0" collapsed="false">
      <c r="A14" s="7" t="n">
        <v>339</v>
      </c>
      <c r="B14" s="8" t="s">
        <v>435</v>
      </c>
      <c r="C14" s="8" t="s">
        <v>436</v>
      </c>
      <c r="D14" s="8" t="s">
        <v>409</v>
      </c>
      <c r="E14" s="8" t="s">
        <v>333</v>
      </c>
      <c r="F14" s="8" t="s">
        <v>437</v>
      </c>
      <c r="G14" s="7" t="s">
        <v>307</v>
      </c>
      <c r="H14" s="8" t="s">
        <v>438</v>
      </c>
      <c r="I14" s="8" t="s">
        <v>439</v>
      </c>
      <c r="J14" s="8" t="s">
        <v>440</v>
      </c>
      <c r="K14" s="8" t="s">
        <v>441</v>
      </c>
      <c r="L14" s="8" t="s">
        <v>339</v>
      </c>
      <c r="M14" s="8" t="s">
        <v>442</v>
      </c>
      <c r="N14" s="8"/>
      <c r="O14" s="7"/>
      <c r="P14" s="8"/>
      <c r="Q14" s="7" t="s">
        <v>330</v>
      </c>
      <c r="R14" s="8"/>
      <c r="S14" s="7" t="n">
        <v>2</v>
      </c>
      <c r="T14" s="12" t="s">
        <v>317</v>
      </c>
    </row>
    <row r="15" customFormat="false" ht="22.35" hidden="false" customHeight="false" outlineLevel="0" collapsed="false">
      <c r="A15" s="7" t="n">
        <v>342</v>
      </c>
      <c r="B15" s="8" t="s">
        <v>426</v>
      </c>
      <c r="C15" s="8" t="s">
        <v>443</v>
      </c>
      <c r="D15" s="8" t="s">
        <v>409</v>
      </c>
      <c r="E15" s="8" t="s">
        <v>333</v>
      </c>
      <c r="F15" s="8" t="s">
        <v>444</v>
      </c>
      <c r="G15" s="7" t="s">
        <v>307</v>
      </c>
      <c r="H15" s="8" t="s">
        <v>445</v>
      </c>
      <c r="I15" s="8" t="s">
        <v>446</v>
      </c>
      <c r="J15" s="8" t="s">
        <v>447</v>
      </c>
      <c r="K15" s="8" t="s">
        <v>448</v>
      </c>
      <c r="L15" s="8" t="s">
        <v>373</v>
      </c>
      <c r="M15" s="8" t="s">
        <v>449</v>
      </c>
      <c r="N15" s="8"/>
      <c r="O15" s="7"/>
      <c r="P15" s="8"/>
      <c r="Q15" s="7" t="s">
        <v>330</v>
      </c>
      <c r="R15" s="8"/>
      <c r="S15" s="7" t="n">
        <v>19</v>
      </c>
      <c r="T15" s="12" t="s">
        <v>317</v>
      </c>
    </row>
    <row r="16" customFormat="false" ht="32.8" hidden="false" customHeight="false" outlineLevel="0" collapsed="false">
      <c r="A16" s="7" t="n">
        <v>344</v>
      </c>
      <c r="B16" s="8" t="s">
        <v>435</v>
      </c>
      <c r="C16" s="8" t="s">
        <v>450</v>
      </c>
      <c r="D16" s="8" t="s">
        <v>409</v>
      </c>
      <c r="E16" s="8" t="s">
        <v>333</v>
      </c>
      <c r="F16" s="8" t="s">
        <v>437</v>
      </c>
      <c r="G16" s="7" t="s">
        <v>307</v>
      </c>
      <c r="H16" s="8" t="s">
        <v>451</v>
      </c>
      <c r="I16" s="8" t="s">
        <v>452</v>
      </c>
      <c r="J16" s="8" t="s">
        <v>453</v>
      </c>
      <c r="K16" s="8" t="s">
        <v>454</v>
      </c>
      <c r="L16" s="8" t="s">
        <v>455</v>
      </c>
      <c r="M16" s="8" t="s">
        <v>456</v>
      </c>
      <c r="N16" s="8"/>
      <c r="O16" s="7"/>
      <c r="P16" s="8"/>
      <c r="Q16" s="7" t="s">
        <v>330</v>
      </c>
      <c r="R16" s="8"/>
      <c r="S16" s="7" t="n">
        <v>2</v>
      </c>
      <c r="T16" s="12" t="s">
        <v>317</v>
      </c>
    </row>
    <row r="17" customFormat="false" ht="22.35" hidden="false" customHeight="false" outlineLevel="0" collapsed="false">
      <c r="A17" s="7" t="n">
        <v>351</v>
      </c>
      <c r="B17" s="8" t="s">
        <v>457</v>
      </c>
      <c r="C17" s="8" t="s">
        <v>458</v>
      </c>
      <c r="D17" s="8" t="s">
        <v>409</v>
      </c>
      <c r="E17" s="8" t="s">
        <v>333</v>
      </c>
      <c r="F17" s="8" t="s">
        <v>459</v>
      </c>
      <c r="G17" s="7" t="s">
        <v>307</v>
      </c>
      <c r="H17" s="8" t="s">
        <v>460</v>
      </c>
      <c r="I17" s="8" t="s">
        <v>461</v>
      </c>
      <c r="J17" s="8" t="s">
        <v>462</v>
      </c>
      <c r="K17" s="8" t="s">
        <v>463</v>
      </c>
      <c r="L17" s="8" t="s">
        <v>339</v>
      </c>
      <c r="M17" s="8" t="s">
        <v>464</v>
      </c>
      <c r="N17" s="8"/>
      <c r="O17" s="7"/>
      <c r="P17" s="8"/>
      <c r="Q17" s="7" t="s">
        <v>330</v>
      </c>
      <c r="R17" s="8"/>
      <c r="S17" s="7" t="n">
        <v>1</v>
      </c>
      <c r="T17" s="12" t="s">
        <v>317</v>
      </c>
    </row>
    <row r="18" customFormat="false" ht="43.25" hidden="false" customHeight="false" outlineLevel="0" collapsed="false">
      <c r="A18" s="7" t="n">
        <v>353</v>
      </c>
      <c r="B18" s="8" t="s">
        <v>426</v>
      </c>
      <c r="C18" s="8" t="s">
        <v>465</v>
      </c>
      <c r="D18" s="8" t="s">
        <v>409</v>
      </c>
      <c r="E18" s="8" t="s">
        <v>333</v>
      </c>
      <c r="F18" s="8" t="s">
        <v>466</v>
      </c>
      <c r="G18" s="7" t="s">
        <v>322</v>
      </c>
      <c r="H18" s="8" t="s">
        <v>467</v>
      </c>
      <c r="I18" s="8" t="s">
        <v>468</v>
      </c>
      <c r="J18" s="8" t="s">
        <v>469</v>
      </c>
      <c r="K18" s="8" t="s">
        <v>470</v>
      </c>
      <c r="L18" s="8" t="s">
        <v>373</v>
      </c>
      <c r="M18" s="8" t="s">
        <v>471</v>
      </c>
      <c r="N18" s="8"/>
      <c r="O18" s="7"/>
      <c r="P18" s="8"/>
      <c r="Q18" s="7" t="s">
        <v>330</v>
      </c>
      <c r="R18" s="8"/>
      <c r="S18" s="7" t="n">
        <v>19</v>
      </c>
      <c r="T18" s="12" t="s">
        <v>317</v>
      </c>
    </row>
    <row r="19" customFormat="false" ht="22.35" hidden="false" customHeight="false" outlineLevel="0" collapsed="false">
      <c r="A19" s="7" t="n">
        <v>360</v>
      </c>
      <c r="B19" s="8" t="s">
        <v>472</v>
      </c>
      <c r="C19" s="8" t="s">
        <v>473</v>
      </c>
      <c r="D19" s="8" t="s">
        <v>409</v>
      </c>
      <c r="E19" s="8" t="s">
        <v>410</v>
      </c>
      <c r="F19" s="8" t="s">
        <v>474</v>
      </c>
      <c r="G19" s="7" t="s">
        <v>307</v>
      </c>
      <c r="H19" s="8" t="s">
        <v>475</v>
      </c>
      <c r="I19" s="8" t="s">
        <v>476</v>
      </c>
      <c r="J19" s="8" t="s">
        <v>477</v>
      </c>
      <c r="K19" s="8" t="s">
        <v>478</v>
      </c>
      <c r="L19" s="8" t="s">
        <v>339</v>
      </c>
      <c r="M19" s="8" t="s">
        <v>479</v>
      </c>
      <c r="N19" s="8"/>
      <c r="O19" s="7"/>
      <c r="P19" s="8"/>
      <c r="Q19" s="7" t="s">
        <v>330</v>
      </c>
      <c r="R19" s="8" t="s">
        <v>480</v>
      </c>
      <c r="S19" s="7" t="n">
        <v>1</v>
      </c>
      <c r="T19" s="12" t="s">
        <v>317</v>
      </c>
    </row>
    <row r="20" customFormat="false" ht="32.8" hidden="false" customHeight="false" outlineLevel="0" collapsed="false">
      <c r="A20" s="7" t="n">
        <v>362</v>
      </c>
      <c r="B20" s="8" t="s">
        <v>481</v>
      </c>
      <c r="C20" s="8" t="s">
        <v>482</v>
      </c>
      <c r="D20" s="8" t="s">
        <v>409</v>
      </c>
      <c r="E20" s="8" t="s">
        <v>483</v>
      </c>
      <c r="F20" s="8" t="s">
        <v>484</v>
      </c>
      <c r="G20" s="7" t="s">
        <v>307</v>
      </c>
      <c r="H20" s="8" t="s">
        <v>485</v>
      </c>
      <c r="I20" s="8" t="s">
        <v>486</v>
      </c>
      <c r="J20" s="8" t="s">
        <v>487</v>
      </c>
      <c r="K20" s="8" t="s">
        <v>488</v>
      </c>
      <c r="L20" s="8" t="s">
        <v>373</v>
      </c>
      <c r="M20" s="8" t="s">
        <v>489</v>
      </c>
      <c r="N20" s="8"/>
      <c r="O20" s="7"/>
      <c r="P20" s="8"/>
      <c r="Q20" s="7" t="s">
        <v>330</v>
      </c>
      <c r="R20" s="8"/>
      <c r="S20" s="7" t="n">
        <v>1</v>
      </c>
      <c r="T20" s="12" t="s">
        <v>317</v>
      </c>
    </row>
    <row r="21" customFormat="false" ht="32.8" hidden="false" customHeight="false" outlineLevel="0" collapsed="false">
      <c r="A21" s="7" t="n">
        <v>282</v>
      </c>
      <c r="B21" s="8" t="s">
        <v>302</v>
      </c>
      <c r="C21" s="8" t="s">
        <v>490</v>
      </c>
      <c r="D21" s="8" t="s">
        <v>491</v>
      </c>
      <c r="E21" s="8" t="s">
        <v>305</v>
      </c>
      <c r="F21" s="8" t="s">
        <v>306</v>
      </c>
      <c r="G21" s="7" t="s">
        <v>307</v>
      </c>
      <c r="H21" s="8" t="s">
        <v>492</v>
      </c>
      <c r="I21" s="8" t="s">
        <v>493</v>
      </c>
      <c r="J21" s="8" t="s">
        <v>494</v>
      </c>
      <c r="K21" s="8" t="s">
        <v>495</v>
      </c>
      <c r="L21" s="8" t="s">
        <v>496</v>
      </c>
      <c r="M21" s="8" t="s">
        <v>497</v>
      </c>
      <c r="N21" s="8"/>
      <c r="O21" s="7" t="n">
        <v>3</v>
      </c>
      <c r="P21" s="8" t="s">
        <v>498</v>
      </c>
      <c r="Q21" s="7" t="s">
        <v>330</v>
      </c>
      <c r="R21" s="8"/>
      <c r="S21" s="7" t="n">
        <v>3</v>
      </c>
      <c r="T21" s="12" t="s">
        <v>317</v>
      </c>
    </row>
    <row r="22" customFormat="false" ht="43.25" hidden="false" customHeight="false" outlineLevel="0" collapsed="false">
      <c r="A22" s="7" t="n">
        <v>296</v>
      </c>
      <c r="B22" s="8" t="s">
        <v>499</v>
      </c>
      <c r="C22" s="8" t="s">
        <v>500</v>
      </c>
      <c r="D22" s="8" t="s">
        <v>491</v>
      </c>
      <c r="E22" s="8" t="s">
        <v>305</v>
      </c>
      <c r="F22" s="8" t="s">
        <v>501</v>
      </c>
      <c r="G22" s="7" t="s">
        <v>322</v>
      </c>
      <c r="H22" s="8" t="s">
        <v>502</v>
      </c>
      <c r="I22" s="8" t="s">
        <v>503</v>
      </c>
      <c r="J22" s="8" t="s">
        <v>504</v>
      </c>
      <c r="K22" s="8" t="s">
        <v>505</v>
      </c>
      <c r="L22" s="8" t="s">
        <v>373</v>
      </c>
      <c r="M22" s="8" t="s">
        <v>506</v>
      </c>
      <c r="N22" s="8"/>
      <c r="O22" s="7" t="n">
        <v>2</v>
      </c>
      <c r="P22" s="8" t="s">
        <v>507</v>
      </c>
      <c r="Q22" s="7" t="s">
        <v>330</v>
      </c>
      <c r="R22" s="8"/>
      <c r="S22" s="7" t="n">
        <v>1</v>
      </c>
      <c r="T22" s="12" t="s">
        <v>317</v>
      </c>
    </row>
    <row r="23" customFormat="false" ht="22.35" hidden="false" customHeight="false" outlineLevel="0" collapsed="false">
      <c r="A23" s="7" t="n">
        <v>324</v>
      </c>
      <c r="B23" s="8" t="s">
        <v>508</v>
      </c>
      <c r="C23" s="8" t="s">
        <v>509</v>
      </c>
      <c r="D23" s="8" t="s">
        <v>491</v>
      </c>
      <c r="E23" s="8" t="s">
        <v>510</v>
      </c>
      <c r="F23" s="8" t="s">
        <v>511</v>
      </c>
      <c r="G23" s="7" t="s">
        <v>307</v>
      </c>
      <c r="H23" s="8" t="s">
        <v>512</v>
      </c>
      <c r="I23" s="8" t="s">
        <v>513</v>
      </c>
      <c r="J23" s="8" t="s">
        <v>514</v>
      </c>
      <c r="K23" s="8" t="s">
        <v>515</v>
      </c>
      <c r="L23" s="8" t="s">
        <v>496</v>
      </c>
      <c r="M23" s="8" t="s">
        <v>516</v>
      </c>
      <c r="N23" s="8"/>
      <c r="O23" s="7" t="n">
        <v>3</v>
      </c>
      <c r="P23" s="8" t="s">
        <v>517</v>
      </c>
      <c r="Q23" s="7" t="s">
        <v>330</v>
      </c>
      <c r="R23" s="8"/>
      <c r="S23" s="7" t="n">
        <v>2</v>
      </c>
      <c r="T23" s="12" t="s">
        <v>317</v>
      </c>
    </row>
    <row r="24" customFormat="false" ht="22.35" hidden="false" customHeight="false" outlineLevel="0" collapsed="false">
      <c r="A24" s="7" t="n">
        <v>332</v>
      </c>
      <c r="B24" s="8" t="s">
        <v>518</v>
      </c>
      <c r="C24" s="8" t="s">
        <v>519</v>
      </c>
      <c r="D24" s="8" t="s">
        <v>491</v>
      </c>
      <c r="E24" s="8" t="s">
        <v>305</v>
      </c>
      <c r="F24" s="8" t="s">
        <v>520</v>
      </c>
      <c r="G24" s="7" t="s">
        <v>322</v>
      </c>
      <c r="H24" s="8" t="s">
        <v>521</v>
      </c>
      <c r="I24" s="8" t="s">
        <v>522</v>
      </c>
      <c r="J24" s="8" t="s">
        <v>523</v>
      </c>
      <c r="K24" s="8" t="s">
        <v>524</v>
      </c>
      <c r="L24" s="8" t="s">
        <v>339</v>
      </c>
      <c r="M24" s="8" t="s">
        <v>525</v>
      </c>
      <c r="N24" s="8"/>
      <c r="O24" s="7" t="n">
        <v>3</v>
      </c>
      <c r="P24" s="8" t="s">
        <v>526</v>
      </c>
      <c r="Q24" s="7" t="s">
        <v>330</v>
      </c>
      <c r="R24" s="8"/>
      <c r="S24" s="7" t="n">
        <v>4</v>
      </c>
      <c r="T24" s="12" t="s">
        <v>317</v>
      </c>
    </row>
    <row r="25" customFormat="false" ht="22.35" hidden="false" customHeight="false" outlineLevel="0" collapsed="false">
      <c r="A25" s="7" t="n">
        <v>333</v>
      </c>
      <c r="B25" s="8" t="s">
        <v>518</v>
      </c>
      <c r="C25" s="8" t="s">
        <v>527</v>
      </c>
      <c r="D25" s="8" t="s">
        <v>491</v>
      </c>
      <c r="E25" s="8" t="s">
        <v>305</v>
      </c>
      <c r="F25" s="8" t="s">
        <v>520</v>
      </c>
      <c r="G25" s="7" t="s">
        <v>322</v>
      </c>
      <c r="H25" s="8" t="s">
        <v>512</v>
      </c>
      <c r="I25" s="8" t="s">
        <v>528</v>
      </c>
      <c r="J25" s="8" t="s">
        <v>529</v>
      </c>
      <c r="K25" s="8" t="s">
        <v>530</v>
      </c>
      <c r="L25" s="8" t="s">
        <v>339</v>
      </c>
      <c r="M25" s="8" t="s">
        <v>531</v>
      </c>
      <c r="N25" s="8"/>
      <c r="O25" s="7" t="n">
        <v>3</v>
      </c>
      <c r="P25" s="8" t="s">
        <v>526</v>
      </c>
      <c r="Q25" s="7" t="s">
        <v>330</v>
      </c>
      <c r="R25" s="8"/>
      <c r="S25" s="7" t="n">
        <v>4</v>
      </c>
      <c r="T25" s="12" t="s">
        <v>317</v>
      </c>
    </row>
    <row r="26" customFormat="false" ht="22.35" hidden="false" customHeight="false" outlineLevel="0" collapsed="false">
      <c r="A26" s="7" t="n">
        <v>338</v>
      </c>
      <c r="B26" s="8" t="s">
        <v>388</v>
      </c>
      <c r="C26" s="8" t="s">
        <v>532</v>
      </c>
      <c r="D26" s="8" t="s">
        <v>491</v>
      </c>
      <c r="E26" s="8" t="s">
        <v>390</v>
      </c>
      <c r="F26" s="8" t="s">
        <v>533</v>
      </c>
      <c r="G26" s="7" t="s">
        <v>322</v>
      </c>
      <c r="H26" s="8" t="s">
        <v>521</v>
      </c>
      <c r="I26" s="8" t="s">
        <v>534</v>
      </c>
      <c r="J26" s="8" t="s">
        <v>535</v>
      </c>
      <c r="K26" s="8" t="s">
        <v>536</v>
      </c>
      <c r="L26" s="8" t="s">
        <v>496</v>
      </c>
      <c r="M26" s="8" t="s">
        <v>537</v>
      </c>
      <c r="N26" s="8"/>
      <c r="O26" s="7" t="n">
        <v>3</v>
      </c>
      <c r="P26" s="8" t="s">
        <v>538</v>
      </c>
      <c r="Q26" s="7" t="s">
        <v>330</v>
      </c>
      <c r="R26" s="8"/>
      <c r="S26" s="7" t="n">
        <v>2</v>
      </c>
      <c r="T26" s="12" t="s">
        <v>317</v>
      </c>
    </row>
    <row r="27" customFormat="false" ht="22.35" hidden="false" customHeight="false" outlineLevel="0" collapsed="false">
      <c r="A27" s="7" t="n">
        <v>355</v>
      </c>
      <c r="B27" s="8" t="s">
        <v>539</v>
      </c>
      <c r="C27" s="8" t="s">
        <v>540</v>
      </c>
      <c r="D27" s="8" t="s">
        <v>491</v>
      </c>
      <c r="E27" s="8" t="s">
        <v>356</v>
      </c>
      <c r="F27" s="8" t="s">
        <v>541</v>
      </c>
      <c r="G27" s="7" t="s">
        <v>307</v>
      </c>
      <c r="H27" s="8" t="s">
        <v>542</v>
      </c>
      <c r="I27" s="8" t="s">
        <v>543</v>
      </c>
      <c r="J27" s="8" t="s">
        <v>544</v>
      </c>
      <c r="K27" s="8" t="s">
        <v>545</v>
      </c>
      <c r="L27" s="8" t="s">
        <v>373</v>
      </c>
      <c r="M27" s="8" t="s">
        <v>546</v>
      </c>
      <c r="N27" s="8"/>
      <c r="O27" s="7"/>
      <c r="P27" s="8"/>
      <c r="Q27" s="7" t="s">
        <v>315</v>
      </c>
      <c r="R27" s="8" t="s">
        <v>547</v>
      </c>
      <c r="S27" s="7" t="n">
        <v>1</v>
      </c>
      <c r="T27" s="12" t="s">
        <v>317</v>
      </c>
    </row>
    <row r="28" customFormat="false" ht="32.8" hidden="false" customHeight="false" outlineLevel="0" collapsed="false">
      <c r="A28" s="7" t="n">
        <v>356</v>
      </c>
      <c r="B28" s="8" t="s">
        <v>548</v>
      </c>
      <c r="C28" s="8" t="s">
        <v>549</v>
      </c>
      <c r="D28" s="8" t="s">
        <v>491</v>
      </c>
      <c r="E28" s="8" t="s">
        <v>305</v>
      </c>
      <c r="F28" s="8" t="s">
        <v>550</v>
      </c>
      <c r="G28" s="7" t="s">
        <v>322</v>
      </c>
      <c r="H28" s="8" t="s">
        <v>551</v>
      </c>
      <c r="I28" s="8" t="s">
        <v>552</v>
      </c>
      <c r="J28" s="8" t="s">
        <v>553</v>
      </c>
      <c r="K28" s="8" t="s">
        <v>554</v>
      </c>
      <c r="L28" s="8" t="s">
        <v>339</v>
      </c>
      <c r="M28" s="8" t="s">
        <v>555</v>
      </c>
      <c r="N28" s="8"/>
      <c r="O28" s="7"/>
      <c r="P28" s="8"/>
      <c r="Q28" s="7" t="s">
        <v>330</v>
      </c>
      <c r="R28" s="8"/>
      <c r="S28" s="7" t="n">
        <v>1</v>
      </c>
      <c r="T28" s="12" t="s">
        <v>317</v>
      </c>
    </row>
    <row r="29" customFormat="false" ht="22.35" hidden="false" customHeight="false" outlineLevel="0" collapsed="false">
      <c r="A29" s="7" t="n">
        <v>361</v>
      </c>
      <c r="B29" s="8" t="s">
        <v>302</v>
      </c>
      <c r="C29" s="8" t="s">
        <v>556</v>
      </c>
      <c r="D29" s="8" t="s">
        <v>491</v>
      </c>
      <c r="E29" s="8" t="s">
        <v>305</v>
      </c>
      <c r="F29" s="8" t="s">
        <v>306</v>
      </c>
      <c r="G29" s="7" t="s">
        <v>307</v>
      </c>
      <c r="H29" s="8" t="s">
        <v>557</v>
      </c>
      <c r="I29" s="8" t="s">
        <v>558</v>
      </c>
      <c r="J29" s="8" t="s">
        <v>559</v>
      </c>
      <c r="K29" s="8" t="s">
        <v>560</v>
      </c>
      <c r="L29" s="8" t="s">
        <v>496</v>
      </c>
      <c r="M29" s="8" t="s">
        <v>561</v>
      </c>
      <c r="N29" s="8"/>
      <c r="O29" s="7"/>
      <c r="P29" s="8"/>
      <c r="Q29" s="7" t="s">
        <v>315</v>
      </c>
      <c r="R29" s="8" t="s">
        <v>562</v>
      </c>
      <c r="S29" s="7" t="n">
        <v>3</v>
      </c>
      <c r="T29" s="12" t="s">
        <v>317</v>
      </c>
    </row>
    <row r="30" customFormat="false" ht="22.35" hidden="false" customHeight="false" outlineLevel="0" collapsed="false">
      <c r="A30" s="7" t="n">
        <v>364</v>
      </c>
      <c r="B30" s="8" t="s">
        <v>518</v>
      </c>
      <c r="C30" s="8" t="s">
        <v>563</v>
      </c>
      <c r="D30" s="8" t="s">
        <v>491</v>
      </c>
      <c r="E30" s="8" t="s">
        <v>305</v>
      </c>
      <c r="F30" s="8" t="s">
        <v>520</v>
      </c>
      <c r="G30" s="7" t="s">
        <v>322</v>
      </c>
      <c r="H30" s="8" t="s">
        <v>564</v>
      </c>
      <c r="I30" s="8" t="s">
        <v>565</v>
      </c>
      <c r="J30" s="8" t="s">
        <v>566</v>
      </c>
      <c r="K30" s="8" t="s">
        <v>567</v>
      </c>
      <c r="L30" s="8" t="s">
        <v>567</v>
      </c>
      <c r="M30" s="8" t="s">
        <v>568</v>
      </c>
      <c r="N30" s="8"/>
      <c r="O30" s="7"/>
      <c r="P30" s="8"/>
      <c r="Q30" s="7" t="s">
        <v>330</v>
      </c>
      <c r="R30" s="8" t="s">
        <v>569</v>
      </c>
      <c r="S30" s="7" t="n">
        <v>4</v>
      </c>
      <c r="T30" s="12" t="s">
        <v>317</v>
      </c>
    </row>
    <row r="31" customFormat="false" ht="22.35" hidden="false" customHeight="false" outlineLevel="0" collapsed="false">
      <c r="A31" s="7" t="n">
        <v>365</v>
      </c>
      <c r="B31" s="8" t="s">
        <v>518</v>
      </c>
      <c r="C31" s="8" t="s">
        <v>570</v>
      </c>
      <c r="D31" s="8" t="s">
        <v>491</v>
      </c>
      <c r="E31" s="8" t="s">
        <v>305</v>
      </c>
      <c r="F31" s="8" t="s">
        <v>520</v>
      </c>
      <c r="G31" s="7" t="s">
        <v>307</v>
      </c>
      <c r="H31" s="8" t="s">
        <v>571</v>
      </c>
      <c r="I31" s="8" t="s">
        <v>572</v>
      </c>
      <c r="J31" s="8" t="s">
        <v>573</v>
      </c>
      <c r="K31" s="8" t="s">
        <v>574</v>
      </c>
      <c r="L31" s="8" t="s">
        <v>373</v>
      </c>
      <c r="M31" s="8" t="s">
        <v>575</v>
      </c>
      <c r="N31" s="8" t="s">
        <v>576</v>
      </c>
      <c r="O31" s="7"/>
      <c r="P31" s="8"/>
      <c r="Q31" s="7" t="s">
        <v>330</v>
      </c>
      <c r="R31" s="8"/>
      <c r="S31" s="7" t="n">
        <v>4</v>
      </c>
      <c r="T31" s="12" t="s">
        <v>317</v>
      </c>
    </row>
    <row r="32" customFormat="false" ht="22.35" hidden="false" customHeight="false" outlineLevel="0" collapsed="false">
      <c r="A32" s="7" t="n">
        <v>366</v>
      </c>
      <c r="B32" s="8" t="s">
        <v>577</v>
      </c>
      <c r="C32" s="8" t="s">
        <v>578</v>
      </c>
      <c r="D32" s="8" t="s">
        <v>491</v>
      </c>
      <c r="E32" s="8" t="s">
        <v>390</v>
      </c>
      <c r="F32" s="8" t="s">
        <v>579</v>
      </c>
      <c r="G32" s="7" t="s">
        <v>307</v>
      </c>
      <c r="H32" s="8" t="s">
        <v>580</v>
      </c>
      <c r="I32" s="8" t="s">
        <v>581</v>
      </c>
      <c r="J32" s="8" t="s">
        <v>582</v>
      </c>
      <c r="K32" s="8" t="s">
        <v>583</v>
      </c>
      <c r="L32" s="8" t="s">
        <v>373</v>
      </c>
      <c r="M32" s="8" t="s">
        <v>584</v>
      </c>
      <c r="N32" s="8"/>
      <c r="O32" s="7"/>
      <c r="P32" s="8"/>
      <c r="Q32" s="7" t="s">
        <v>330</v>
      </c>
      <c r="R32" s="8" t="s">
        <v>585</v>
      </c>
      <c r="S32" s="7" t="n">
        <v>1</v>
      </c>
      <c r="T32" s="12" t="s">
        <v>317</v>
      </c>
    </row>
    <row r="33" customFormat="false" ht="22.35" hidden="false" customHeight="false" outlineLevel="0" collapsed="false">
      <c r="A33" s="7" t="n">
        <v>289</v>
      </c>
      <c r="B33" s="8" t="s">
        <v>586</v>
      </c>
      <c r="C33" s="8" t="s">
        <v>587</v>
      </c>
      <c r="D33" s="8" t="s">
        <v>588</v>
      </c>
      <c r="E33" s="8" t="s">
        <v>510</v>
      </c>
      <c r="F33" s="8" t="s">
        <v>589</v>
      </c>
      <c r="G33" s="7" t="s">
        <v>307</v>
      </c>
      <c r="H33" s="8" t="s">
        <v>590</v>
      </c>
      <c r="I33" s="8" t="s">
        <v>591</v>
      </c>
      <c r="J33" s="8" t="s">
        <v>592</v>
      </c>
      <c r="K33" s="8" t="s">
        <v>593</v>
      </c>
      <c r="L33" s="8" t="s">
        <v>339</v>
      </c>
      <c r="M33" s="8" t="s">
        <v>594</v>
      </c>
      <c r="N33" s="8"/>
      <c r="O33" s="7"/>
      <c r="P33" s="8"/>
      <c r="Q33" s="7" t="s">
        <v>330</v>
      </c>
      <c r="R33" s="8"/>
      <c r="S33" s="7" t="n">
        <v>2</v>
      </c>
      <c r="T33" s="12" t="s">
        <v>317</v>
      </c>
    </row>
    <row r="34" customFormat="false" ht="22.35" hidden="false" customHeight="false" outlineLevel="0" collapsed="false">
      <c r="A34" s="7" t="n">
        <v>290</v>
      </c>
      <c r="B34" s="8" t="s">
        <v>586</v>
      </c>
      <c r="C34" s="8" t="s">
        <v>595</v>
      </c>
      <c r="D34" s="8" t="s">
        <v>588</v>
      </c>
      <c r="E34" s="8" t="s">
        <v>510</v>
      </c>
      <c r="F34" s="8" t="s">
        <v>596</v>
      </c>
      <c r="G34" s="7" t="s">
        <v>307</v>
      </c>
      <c r="H34" s="8" t="s">
        <v>597</v>
      </c>
      <c r="I34" s="8" t="s">
        <v>598</v>
      </c>
      <c r="J34" s="8" t="s">
        <v>599</v>
      </c>
      <c r="K34" s="8" t="s">
        <v>600</v>
      </c>
      <c r="L34" s="8" t="s">
        <v>339</v>
      </c>
      <c r="M34" s="8" t="s">
        <v>594</v>
      </c>
      <c r="N34" s="8"/>
      <c r="O34" s="7"/>
      <c r="P34" s="8"/>
      <c r="Q34" s="7" t="s">
        <v>330</v>
      </c>
      <c r="R34" s="8"/>
      <c r="S34" s="7" t="n">
        <v>2</v>
      </c>
      <c r="T34" s="12" t="s">
        <v>317</v>
      </c>
    </row>
    <row r="35" customFormat="false" ht="22.35" hidden="false" customHeight="false" outlineLevel="0" collapsed="false">
      <c r="A35" s="7" t="n">
        <v>293</v>
      </c>
      <c r="B35" s="8" t="s">
        <v>601</v>
      </c>
      <c r="C35" s="8" t="s">
        <v>602</v>
      </c>
      <c r="D35" s="8" t="s">
        <v>588</v>
      </c>
      <c r="E35" s="8" t="s">
        <v>603</v>
      </c>
      <c r="F35" s="8" t="s">
        <v>604</v>
      </c>
      <c r="G35" s="7" t="s">
        <v>307</v>
      </c>
      <c r="H35" s="8" t="s">
        <v>605</v>
      </c>
      <c r="I35" s="8" t="s">
        <v>606</v>
      </c>
      <c r="J35" s="8" t="s">
        <v>607</v>
      </c>
      <c r="K35" s="8" t="s">
        <v>608</v>
      </c>
      <c r="L35" s="8" t="s">
        <v>312</v>
      </c>
      <c r="M35" s="8" t="s">
        <v>609</v>
      </c>
      <c r="N35" s="8"/>
      <c r="O35" s="7"/>
      <c r="P35" s="8"/>
      <c r="Q35" s="7" t="s">
        <v>330</v>
      </c>
      <c r="R35" s="8"/>
      <c r="S35" s="7" t="n">
        <v>2</v>
      </c>
      <c r="T35" s="12" t="s">
        <v>317</v>
      </c>
    </row>
    <row r="36" customFormat="false" ht="22.35" hidden="false" customHeight="false" outlineLevel="0" collapsed="false">
      <c r="A36" s="7" t="n">
        <v>295</v>
      </c>
      <c r="B36" s="8" t="s">
        <v>601</v>
      </c>
      <c r="C36" s="8" t="s">
        <v>610</v>
      </c>
      <c r="D36" s="8" t="s">
        <v>588</v>
      </c>
      <c r="E36" s="8" t="s">
        <v>603</v>
      </c>
      <c r="F36" s="8" t="s">
        <v>611</v>
      </c>
      <c r="G36" s="7" t="s">
        <v>307</v>
      </c>
      <c r="H36" s="8" t="s">
        <v>605</v>
      </c>
      <c r="I36" s="8" t="s">
        <v>612</v>
      </c>
      <c r="J36" s="8" t="s">
        <v>613</v>
      </c>
      <c r="K36" s="8" t="s">
        <v>614</v>
      </c>
      <c r="L36" s="8" t="s">
        <v>312</v>
      </c>
      <c r="M36" s="8" t="s">
        <v>615</v>
      </c>
      <c r="N36" s="8"/>
      <c r="O36" s="7"/>
      <c r="P36" s="8"/>
      <c r="Q36" s="7" t="s">
        <v>330</v>
      </c>
      <c r="R36" s="8"/>
      <c r="S36" s="7" t="n">
        <v>2</v>
      </c>
      <c r="T36" s="12" t="s">
        <v>317</v>
      </c>
    </row>
    <row r="37" customFormat="false" ht="22.35" hidden="false" customHeight="false" outlineLevel="0" collapsed="false">
      <c r="A37" s="7" t="n">
        <v>300</v>
      </c>
      <c r="B37" s="8" t="s">
        <v>616</v>
      </c>
      <c r="C37" s="8" t="s">
        <v>617</v>
      </c>
      <c r="D37" s="8" t="s">
        <v>588</v>
      </c>
      <c r="E37" s="8" t="s">
        <v>333</v>
      </c>
      <c r="F37" s="8" t="s">
        <v>618</v>
      </c>
      <c r="G37" s="7" t="s">
        <v>322</v>
      </c>
      <c r="H37" s="8" t="s">
        <v>619</v>
      </c>
      <c r="I37" s="8" t="s">
        <v>620</v>
      </c>
      <c r="J37" s="8" t="s">
        <v>621</v>
      </c>
      <c r="K37" s="8" t="s">
        <v>622</v>
      </c>
      <c r="L37" s="8" t="s">
        <v>339</v>
      </c>
      <c r="M37" s="8" t="s">
        <v>623</v>
      </c>
      <c r="N37" s="8"/>
      <c r="O37" s="7"/>
      <c r="P37" s="8"/>
      <c r="Q37" s="7" t="s">
        <v>330</v>
      </c>
      <c r="R37" s="8"/>
      <c r="S37" s="7" t="n">
        <v>1</v>
      </c>
      <c r="T37" s="12" t="s">
        <v>317</v>
      </c>
    </row>
    <row r="38" customFormat="false" ht="22.35" hidden="false" customHeight="false" outlineLevel="0" collapsed="false">
      <c r="A38" s="7" t="n">
        <v>326</v>
      </c>
      <c r="B38" s="8" t="s">
        <v>508</v>
      </c>
      <c r="C38" s="8" t="s">
        <v>624</v>
      </c>
      <c r="D38" s="8" t="s">
        <v>588</v>
      </c>
      <c r="E38" s="8" t="s">
        <v>510</v>
      </c>
      <c r="F38" s="8" t="s">
        <v>625</v>
      </c>
      <c r="G38" s="7" t="s">
        <v>307</v>
      </c>
      <c r="H38" s="8" t="s">
        <v>626</v>
      </c>
      <c r="I38" s="8" t="s">
        <v>627</v>
      </c>
      <c r="J38" s="8" t="s">
        <v>628</v>
      </c>
      <c r="K38" s="8" t="s">
        <v>629</v>
      </c>
      <c r="L38" s="8" t="s">
        <v>373</v>
      </c>
      <c r="M38" s="8" t="s">
        <v>630</v>
      </c>
      <c r="N38" s="8"/>
      <c r="O38" s="7"/>
      <c r="P38" s="8"/>
      <c r="Q38" s="7" t="s">
        <v>330</v>
      </c>
      <c r="R38" s="8"/>
      <c r="S38" s="7" t="n">
        <v>2</v>
      </c>
      <c r="T38" s="12" t="s">
        <v>317</v>
      </c>
    </row>
    <row r="39" customFormat="false" ht="32.8" hidden="false" customHeight="false" outlineLevel="0" collapsed="false">
      <c r="A39" s="7" t="n">
        <v>354</v>
      </c>
      <c r="B39" s="8" t="s">
        <v>631</v>
      </c>
      <c r="C39" s="8" t="s">
        <v>632</v>
      </c>
      <c r="D39" s="8" t="s">
        <v>588</v>
      </c>
      <c r="E39" s="8" t="s">
        <v>633</v>
      </c>
      <c r="F39" s="8" t="s">
        <v>634</v>
      </c>
      <c r="G39" s="7" t="s">
        <v>307</v>
      </c>
      <c r="H39" s="8" t="s">
        <v>635</v>
      </c>
      <c r="I39" s="8" t="s">
        <v>636</v>
      </c>
      <c r="J39" s="8" t="s">
        <v>637</v>
      </c>
      <c r="K39" s="8" t="s">
        <v>638</v>
      </c>
      <c r="L39" s="8" t="s">
        <v>496</v>
      </c>
      <c r="M39" s="8" t="s">
        <v>639</v>
      </c>
      <c r="N39" s="8"/>
      <c r="O39" s="7"/>
      <c r="P39" s="8"/>
      <c r="Q39" s="7" t="s">
        <v>330</v>
      </c>
      <c r="R39" s="8"/>
      <c r="S39" s="7" t="n">
        <v>1</v>
      </c>
      <c r="T39" s="12" t="s">
        <v>317</v>
      </c>
    </row>
    <row r="40" customFormat="false" ht="32.8" hidden="false" customHeight="false" outlineLevel="0" collapsed="false">
      <c r="A40" s="7" t="n">
        <v>301</v>
      </c>
      <c r="B40" s="8" t="s">
        <v>640</v>
      </c>
      <c r="C40" s="8" t="s">
        <v>641</v>
      </c>
      <c r="D40" s="8" t="s">
        <v>642</v>
      </c>
      <c r="E40" s="8" t="s">
        <v>643</v>
      </c>
      <c r="F40" s="8" t="s">
        <v>644</v>
      </c>
      <c r="G40" s="7" t="s">
        <v>307</v>
      </c>
      <c r="H40" s="8" t="s">
        <v>645</v>
      </c>
      <c r="I40" s="8" t="s">
        <v>646</v>
      </c>
      <c r="J40" s="8" t="s">
        <v>647</v>
      </c>
      <c r="K40" s="8" t="s">
        <v>648</v>
      </c>
      <c r="L40" s="8" t="s">
        <v>373</v>
      </c>
      <c r="M40" s="8" t="s">
        <v>649</v>
      </c>
      <c r="N40" s="8"/>
      <c r="O40" s="7"/>
      <c r="P40" s="8"/>
      <c r="Q40" s="7" t="s">
        <v>330</v>
      </c>
      <c r="R40" s="8"/>
      <c r="S40" s="7" t="n">
        <v>1</v>
      </c>
      <c r="T40" s="12" t="s">
        <v>317</v>
      </c>
    </row>
    <row r="41" customFormat="false" ht="22.35" hidden="false" customHeight="false" outlineLevel="0" collapsed="false">
      <c r="A41" s="7" t="n">
        <v>308</v>
      </c>
      <c r="B41" s="8" t="s">
        <v>342</v>
      </c>
      <c r="C41" s="8" t="s">
        <v>650</v>
      </c>
      <c r="D41" s="8" t="s">
        <v>642</v>
      </c>
      <c r="E41" s="8" t="s">
        <v>344</v>
      </c>
      <c r="F41" s="8" t="s">
        <v>345</v>
      </c>
      <c r="G41" s="7" t="s">
        <v>307</v>
      </c>
      <c r="H41" s="8" t="s">
        <v>651</v>
      </c>
      <c r="I41" s="8" t="s">
        <v>652</v>
      </c>
      <c r="J41" s="8" t="s">
        <v>653</v>
      </c>
      <c r="K41" s="8" t="s">
        <v>654</v>
      </c>
      <c r="L41" s="8" t="s">
        <v>350</v>
      </c>
      <c r="M41" s="8" t="s">
        <v>655</v>
      </c>
      <c r="N41" s="8" t="s">
        <v>656</v>
      </c>
      <c r="O41" s="7"/>
      <c r="P41" s="8"/>
      <c r="Q41" s="7" t="s">
        <v>330</v>
      </c>
      <c r="R41" s="8"/>
      <c r="S41" s="7" t="n">
        <v>6</v>
      </c>
      <c r="T41" s="12" t="s">
        <v>317</v>
      </c>
    </row>
    <row r="42" customFormat="false" ht="74.6" hidden="false" customHeight="false" outlineLevel="0" collapsed="false">
      <c r="A42" s="7" t="n">
        <v>337</v>
      </c>
      <c r="B42" s="8" t="s">
        <v>657</v>
      </c>
      <c r="C42" s="8" t="s">
        <v>658</v>
      </c>
      <c r="D42" s="8" t="s">
        <v>642</v>
      </c>
      <c r="E42" s="8" t="s">
        <v>659</v>
      </c>
      <c r="F42" s="8" t="s">
        <v>660</v>
      </c>
      <c r="G42" s="7" t="s">
        <v>307</v>
      </c>
      <c r="H42" s="8" t="s">
        <v>661</v>
      </c>
      <c r="I42" s="8" t="s">
        <v>662</v>
      </c>
      <c r="J42" s="8" t="s">
        <v>663</v>
      </c>
      <c r="K42" s="8" t="s">
        <v>664</v>
      </c>
      <c r="L42" s="8" t="s">
        <v>665</v>
      </c>
      <c r="M42" s="8" t="s">
        <v>666</v>
      </c>
      <c r="N42" s="8"/>
      <c r="O42" s="7" t="n">
        <v>2</v>
      </c>
      <c r="P42" s="8" t="s">
        <v>667</v>
      </c>
      <c r="Q42" s="7" t="s">
        <v>330</v>
      </c>
      <c r="R42" s="8"/>
      <c r="S42" s="7" t="n">
        <v>1</v>
      </c>
      <c r="T42" s="12" t="s">
        <v>317</v>
      </c>
    </row>
    <row r="43" customFormat="false" ht="22.35" hidden="false" customHeight="false" outlineLevel="0" collapsed="false">
      <c r="A43" s="7" t="n">
        <v>302</v>
      </c>
      <c r="B43" s="8" t="s">
        <v>668</v>
      </c>
      <c r="C43" s="8" t="s">
        <v>669</v>
      </c>
      <c r="D43" s="8" t="s">
        <v>670</v>
      </c>
      <c r="E43" s="8" t="s">
        <v>671</v>
      </c>
      <c r="F43" s="8" t="s">
        <v>672</v>
      </c>
      <c r="G43" s="7" t="s">
        <v>322</v>
      </c>
      <c r="H43" s="8" t="s">
        <v>673</v>
      </c>
      <c r="I43" s="8" t="s">
        <v>674</v>
      </c>
      <c r="J43" s="8" t="s">
        <v>675</v>
      </c>
      <c r="K43" s="8" t="s">
        <v>676</v>
      </c>
      <c r="L43" s="8" t="s">
        <v>312</v>
      </c>
      <c r="M43" s="8" t="s">
        <v>677</v>
      </c>
      <c r="N43" s="8"/>
      <c r="O43" s="7"/>
      <c r="P43" s="8"/>
      <c r="Q43" s="7" t="s">
        <v>330</v>
      </c>
      <c r="R43" s="8"/>
      <c r="S43" s="7" t="n">
        <v>2</v>
      </c>
      <c r="T43" s="12" t="s">
        <v>317</v>
      </c>
    </row>
    <row r="44" customFormat="false" ht="22.35" hidden="false" customHeight="false" outlineLevel="0" collapsed="false">
      <c r="A44" s="7" t="n">
        <v>306</v>
      </c>
      <c r="B44" s="8" t="s">
        <v>678</v>
      </c>
      <c r="C44" s="8" t="s">
        <v>679</v>
      </c>
      <c r="D44" s="8" t="s">
        <v>670</v>
      </c>
      <c r="E44" s="8" t="s">
        <v>333</v>
      </c>
      <c r="F44" s="8" t="s">
        <v>680</v>
      </c>
      <c r="G44" s="7" t="s">
        <v>307</v>
      </c>
      <c r="H44" s="8" t="s">
        <v>681</v>
      </c>
      <c r="I44" s="8" t="s">
        <v>682</v>
      </c>
      <c r="J44" s="8" t="s">
        <v>683</v>
      </c>
      <c r="K44" s="8" t="s">
        <v>684</v>
      </c>
      <c r="L44" s="8" t="s">
        <v>339</v>
      </c>
      <c r="M44" s="8" t="s">
        <v>685</v>
      </c>
      <c r="N44" s="8"/>
      <c r="O44" s="7"/>
      <c r="P44" s="8"/>
      <c r="Q44" s="7" t="s">
        <v>330</v>
      </c>
      <c r="R44" s="8"/>
      <c r="S44" s="7" t="n">
        <v>19</v>
      </c>
      <c r="T44" s="12" t="s">
        <v>317</v>
      </c>
    </row>
    <row r="45" customFormat="false" ht="22.35" hidden="false" customHeight="false" outlineLevel="0" collapsed="false">
      <c r="A45" s="7" t="n">
        <v>307</v>
      </c>
      <c r="B45" s="8" t="s">
        <v>678</v>
      </c>
      <c r="C45" s="8" t="s">
        <v>686</v>
      </c>
      <c r="D45" s="8" t="s">
        <v>670</v>
      </c>
      <c r="E45" s="8" t="s">
        <v>333</v>
      </c>
      <c r="F45" s="8" t="s">
        <v>680</v>
      </c>
      <c r="G45" s="7" t="s">
        <v>307</v>
      </c>
      <c r="H45" s="8" t="s">
        <v>687</v>
      </c>
      <c r="I45" s="8" t="s">
        <v>688</v>
      </c>
      <c r="J45" s="8" t="s">
        <v>689</v>
      </c>
      <c r="K45" s="8" t="s">
        <v>690</v>
      </c>
      <c r="L45" s="8" t="s">
        <v>339</v>
      </c>
      <c r="M45" s="8" t="s">
        <v>691</v>
      </c>
      <c r="N45" s="8"/>
      <c r="O45" s="7"/>
      <c r="P45" s="8"/>
      <c r="Q45" s="7" t="s">
        <v>330</v>
      </c>
      <c r="R45" s="8"/>
      <c r="S45" s="7" t="n">
        <v>19</v>
      </c>
      <c r="T45" s="12" t="s">
        <v>317</v>
      </c>
    </row>
    <row r="46" customFormat="false" ht="22.35" hidden="false" customHeight="false" outlineLevel="0" collapsed="false">
      <c r="A46" s="7" t="n">
        <v>311</v>
      </c>
      <c r="B46" s="8" t="s">
        <v>692</v>
      </c>
      <c r="C46" s="8" t="s">
        <v>693</v>
      </c>
      <c r="D46" s="8" t="s">
        <v>670</v>
      </c>
      <c r="E46" s="8" t="s">
        <v>333</v>
      </c>
      <c r="F46" s="8" t="s">
        <v>694</v>
      </c>
      <c r="G46" s="7" t="s">
        <v>307</v>
      </c>
      <c r="H46" s="8" t="s">
        <v>695</v>
      </c>
      <c r="I46" s="8" t="s">
        <v>696</v>
      </c>
      <c r="J46" s="8" t="s">
        <v>697</v>
      </c>
      <c r="K46" s="8" t="s">
        <v>698</v>
      </c>
      <c r="L46" s="8" t="s">
        <v>455</v>
      </c>
      <c r="M46" s="8" t="s">
        <v>699</v>
      </c>
      <c r="N46" s="8"/>
      <c r="O46" s="7"/>
      <c r="P46" s="8"/>
      <c r="Q46" s="7" t="s">
        <v>330</v>
      </c>
      <c r="R46" s="8"/>
      <c r="S46" s="7" t="n">
        <v>19</v>
      </c>
      <c r="T46" s="12" t="s">
        <v>317</v>
      </c>
    </row>
    <row r="47" customFormat="false" ht="22.35" hidden="false" customHeight="false" outlineLevel="0" collapsed="false">
      <c r="A47" s="7" t="n">
        <v>312</v>
      </c>
      <c r="B47" s="8" t="s">
        <v>700</v>
      </c>
      <c r="C47" s="8" t="s">
        <v>701</v>
      </c>
      <c r="D47" s="8" t="s">
        <v>670</v>
      </c>
      <c r="E47" s="8" t="s">
        <v>333</v>
      </c>
      <c r="F47" s="8" t="s">
        <v>694</v>
      </c>
      <c r="G47" s="7" t="s">
        <v>307</v>
      </c>
      <c r="H47" s="8" t="s">
        <v>702</v>
      </c>
      <c r="I47" s="8" t="s">
        <v>703</v>
      </c>
      <c r="J47" s="8" t="s">
        <v>704</v>
      </c>
      <c r="K47" s="8" t="s">
        <v>705</v>
      </c>
      <c r="L47" s="8" t="s">
        <v>339</v>
      </c>
      <c r="M47" s="8" t="s">
        <v>706</v>
      </c>
      <c r="N47" s="8"/>
      <c r="O47" s="7"/>
      <c r="P47" s="8"/>
      <c r="Q47" s="7" t="s">
        <v>330</v>
      </c>
      <c r="R47" s="8"/>
      <c r="S47" s="7" t="n">
        <v>1</v>
      </c>
      <c r="T47" s="12" t="s">
        <v>317</v>
      </c>
    </row>
    <row r="48" customFormat="false" ht="22.35" hidden="false" customHeight="false" outlineLevel="0" collapsed="false">
      <c r="A48" s="7" t="n">
        <v>317</v>
      </c>
      <c r="B48" s="8" t="s">
        <v>426</v>
      </c>
      <c r="C48" s="8" t="s">
        <v>707</v>
      </c>
      <c r="D48" s="8" t="s">
        <v>670</v>
      </c>
      <c r="E48" s="8" t="s">
        <v>333</v>
      </c>
      <c r="F48" s="8" t="s">
        <v>708</v>
      </c>
      <c r="G48" s="7" t="s">
        <v>307</v>
      </c>
      <c r="H48" s="8" t="s">
        <v>709</v>
      </c>
      <c r="I48" s="8" t="s">
        <v>710</v>
      </c>
      <c r="J48" s="8" t="s">
        <v>711</v>
      </c>
      <c r="K48" s="8" t="s">
        <v>712</v>
      </c>
      <c r="L48" s="8" t="s">
        <v>339</v>
      </c>
      <c r="M48" s="8" t="s">
        <v>713</v>
      </c>
      <c r="N48" s="8"/>
      <c r="O48" s="7"/>
      <c r="P48" s="8"/>
      <c r="Q48" s="7" t="s">
        <v>330</v>
      </c>
      <c r="R48" s="8"/>
      <c r="S48" s="7" t="n">
        <v>19</v>
      </c>
      <c r="T48" s="12" t="s">
        <v>317</v>
      </c>
    </row>
    <row r="49" customFormat="false" ht="22.35" hidden="false" customHeight="false" outlineLevel="0" collapsed="false">
      <c r="A49" s="7" t="n">
        <v>318</v>
      </c>
      <c r="B49" s="8" t="s">
        <v>714</v>
      </c>
      <c r="C49" s="8" t="s">
        <v>715</v>
      </c>
      <c r="D49" s="8" t="s">
        <v>670</v>
      </c>
      <c r="E49" s="8" t="s">
        <v>333</v>
      </c>
      <c r="F49" s="8" t="s">
        <v>716</v>
      </c>
      <c r="G49" s="7" t="s">
        <v>307</v>
      </c>
      <c r="H49" s="8" t="s">
        <v>717</v>
      </c>
      <c r="I49" s="8" t="s">
        <v>718</v>
      </c>
      <c r="J49" s="8" t="s">
        <v>719</v>
      </c>
      <c r="K49" s="8" t="s">
        <v>720</v>
      </c>
      <c r="L49" s="8" t="s">
        <v>339</v>
      </c>
      <c r="M49" s="8" t="s">
        <v>721</v>
      </c>
      <c r="N49" s="8"/>
      <c r="O49" s="7"/>
      <c r="P49" s="8"/>
      <c r="Q49" s="7" t="s">
        <v>330</v>
      </c>
      <c r="R49" s="8"/>
      <c r="S49" s="7" t="n">
        <v>1</v>
      </c>
      <c r="T49" s="12" t="s">
        <v>317</v>
      </c>
    </row>
    <row r="50" customFormat="false" ht="22.35" hidden="false" customHeight="false" outlineLevel="0" collapsed="false">
      <c r="A50" s="7" t="n">
        <v>358</v>
      </c>
      <c r="B50" s="8" t="s">
        <v>722</v>
      </c>
      <c r="C50" s="8" t="s">
        <v>723</v>
      </c>
      <c r="D50" s="8" t="s">
        <v>670</v>
      </c>
      <c r="E50" s="8" t="s">
        <v>510</v>
      </c>
      <c r="F50" s="8" t="s">
        <v>724</v>
      </c>
      <c r="G50" s="7" t="s">
        <v>307</v>
      </c>
      <c r="H50" s="8" t="s">
        <v>725</v>
      </c>
      <c r="I50" s="8" t="s">
        <v>726</v>
      </c>
      <c r="J50" s="8" t="s">
        <v>727</v>
      </c>
      <c r="K50" s="8" t="s">
        <v>728</v>
      </c>
      <c r="L50" s="8" t="s">
        <v>339</v>
      </c>
      <c r="M50" s="8" t="s">
        <v>729</v>
      </c>
      <c r="N50" s="8"/>
      <c r="O50" s="7"/>
      <c r="P50" s="8"/>
      <c r="Q50" s="7" t="s">
        <v>330</v>
      </c>
      <c r="R50" s="8"/>
      <c r="S50" s="7" t="n">
        <v>1</v>
      </c>
      <c r="T50" s="12" t="s">
        <v>317</v>
      </c>
    </row>
    <row r="51" customFormat="false" ht="22.35" hidden="false" customHeight="false" outlineLevel="0" collapsed="false">
      <c r="A51" s="7" t="n">
        <v>359</v>
      </c>
      <c r="B51" s="8" t="s">
        <v>426</v>
      </c>
      <c r="C51" s="8" t="s">
        <v>730</v>
      </c>
      <c r="D51" s="8" t="s">
        <v>670</v>
      </c>
      <c r="E51" s="8" t="s">
        <v>333</v>
      </c>
      <c r="F51" s="8" t="s">
        <v>731</v>
      </c>
      <c r="G51" s="7" t="s">
        <v>322</v>
      </c>
      <c r="H51" s="8" t="s">
        <v>695</v>
      </c>
      <c r="I51" s="8" t="s">
        <v>732</v>
      </c>
      <c r="J51" s="8" t="s">
        <v>733</v>
      </c>
      <c r="K51" s="8" t="s">
        <v>734</v>
      </c>
      <c r="L51" s="8" t="s">
        <v>373</v>
      </c>
      <c r="M51" s="8" t="s">
        <v>735</v>
      </c>
      <c r="N51" s="8"/>
      <c r="O51" s="7"/>
      <c r="P51" s="8"/>
      <c r="Q51" s="7" t="s">
        <v>330</v>
      </c>
      <c r="R51" s="8"/>
      <c r="S51" s="7" t="n">
        <v>19</v>
      </c>
      <c r="T51" s="12" t="s">
        <v>317</v>
      </c>
    </row>
    <row r="52" customFormat="false" ht="32.8" hidden="false" customHeight="false" outlineLevel="0" collapsed="false">
      <c r="A52" s="7" t="n">
        <v>279</v>
      </c>
      <c r="B52" s="8" t="s">
        <v>376</v>
      </c>
      <c r="C52" s="8" t="s">
        <v>736</v>
      </c>
      <c r="D52" s="8" t="s">
        <v>737</v>
      </c>
      <c r="E52" s="8" t="s">
        <v>379</v>
      </c>
      <c r="F52" s="8" t="s">
        <v>380</v>
      </c>
      <c r="G52" s="7" t="s">
        <v>307</v>
      </c>
      <c r="H52" s="8" t="s">
        <v>738</v>
      </c>
      <c r="I52" s="8" t="s">
        <v>739</v>
      </c>
      <c r="J52" s="8" t="s">
        <v>740</v>
      </c>
      <c r="K52" s="8" t="s">
        <v>741</v>
      </c>
      <c r="L52" s="8" t="s">
        <v>742</v>
      </c>
      <c r="M52" s="8" t="s">
        <v>743</v>
      </c>
      <c r="N52" s="8"/>
      <c r="O52" s="7" t="n">
        <v>1</v>
      </c>
      <c r="P52" s="8" t="s">
        <v>744</v>
      </c>
      <c r="Q52" s="7" t="s">
        <v>330</v>
      </c>
      <c r="R52" s="8"/>
      <c r="S52" s="7" t="n">
        <v>2</v>
      </c>
      <c r="T52" s="12" t="s">
        <v>317</v>
      </c>
    </row>
    <row r="53" customFormat="false" ht="22.35" hidden="false" customHeight="false" outlineLevel="0" collapsed="false">
      <c r="A53" s="7" t="n">
        <v>303</v>
      </c>
      <c r="B53" s="8" t="s">
        <v>668</v>
      </c>
      <c r="C53" s="8" t="s">
        <v>745</v>
      </c>
      <c r="D53" s="8" t="s">
        <v>737</v>
      </c>
      <c r="E53" s="8" t="s">
        <v>671</v>
      </c>
      <c r="F53" s="8" t="s">
        <v>672</v>
      </c>
      <c r="G53" s="7" t="s">
        <v>322</v>
      </c>
      <c r="H53" s="8" t="s">
        <v>746</v>
      </c>
      <c r="I53" s="8" t="s">
        <v>747</v>
      </c>
      <c r="J53" s="8" t="s">
        <v>748</v>
      </c>
      <c r="K53" s="8" t="s">
        <v>749</v>
      </c>
      <c r="L53" s="8" t="s">
        <v>312</v>
      </c>
      <c r="M53" s="8" t="s">
        <v>750</v>
      </c>
      <c r="N53" s="8"/>
      <c r="O53" s="7"/>
      <c r="P53" s="8"/>
      <c r="Q53" s="7" t="s">
        <v>330</v>
      </c>
      <c r="R53" s="8"/>
      <c r="S53" s="7" t="n">
        <v>2</v>
      </c>
      <c r="T53" s="12" t="s">
        <v>317</v>
      </c>
    </row>
    <row r="54" customFormat="false" ht="22.35" hidden="false" customHeight="false" outlineLevel="0" collapsed="false">
      <c r="A54" s="7" t="n">
        <v>313</v>
      </c>
      <c r="B54" s="8" t="s">
        <v>751</v>
      </c>
      <c r="C54" s="8" t="s">
        <v>752</v>
      </c>
      <c r="D54" s="8" t="s">
        <v>737</v>
      </c>
      <c r="E54" s="8" t="s">
        <v>333</v>
      </c>
      <c r="F54" s="8" t="s">
        <v>753</v>
      </c>
      <c r="G54" s="7" t="s">
        <v>322</v>
      </c>
      <c r="H54" s="8" t="s">
        <v>754</v>
      </c>
      <c r="I54" s="8" t="s">
        <v>755</v>
      </c>
      <c r="J54" s="8" t="s">
        <v>756</v>
      </c>
      <c r="K54" s="8" t="s">
        <v>757</v>
      </c>
      <c r="L54" s="8" t="s">
        <v>339</v>
      </c>
      <c r="M54" s="8" t="s">
        <v>758</v>
      </c>
      <c r="N54" s="8"/>
      <c r="O54" s="7"/>
      <c r="P54" s="8"/>
      <c r="Q54" s="7" t="s">
        <v>330</v>
      </c>
      <c r="R54" s="8"/>
      <c r="S54" s="7" t="n">
        <v>3</v>
      </c>
      <c r="T54" s="12" t="s">
        <v>317</v>
      </c>
    </row>
    <row r="55" customFormat="false" ht="22.35" hidden="false" customHeight="false" outlineLevel="0" collapsed="false">
      <c r="A55" s="7" t="n">
        <v>315</v>
      </c>
      <c r="B55" s="8" t="s">
        <v>342</v>
      </c>
      <c r="C55" s="8" t="s">
        <v>759</v>
      </c>
      <c r="D55" s="8" t="s">
        <v>737</v>
      </c>
      <c r="E55" s="8" t="s">
        <v>344</v>
      </c>
      <c r="F55" s="8" t="s">
        <v>400</v>
      </c>
      <c r="G55" s="7" t="s">
        <v>322</v>
      </c>
      <c r="H55" s="8" t="s">
        <v>760</v>
      </c>
      <c r="I55" s="8" t="s">
        <v>761</v>
      </c>
      <c r="J55" s="8" t="s">
        <v>762</v>
      </c>
      <c r="K55" s="8" t="s">
        <v>763</v>
      </c>
      <c r="L55" s="8" t="s">
        <v>339</v>
      </c>
      <c r="M55" s="8" t="s">
        <v>764</v>
      </c>
      <c r="N55" s="8"/>
      <c r="O55" s="7"/>
      <c r="P55" s="8"/>
      <c r="Q55" s="7" t="s">
        <v>330</v>
      </c>
      <c r="R55" s="8"/>
      <c r="S55" s="7" t="n">
        <v>6</v>
      </c>
      <c r="T55" s="12" t="s">
        <v>317</v>
      </c>
    </row>
    <row r="56" customFormat="false" ht="22.35" hidden="false" customHeight="false" outlineLevel="0" collapsed="false">
      <c r="A56" s="7" t="n">
        <v>334</v>
      </c>
      <c r="B56" s="8" t="s">
        <v>765</v>
      </c>
      <c r="C56" s="8" t="s">
        <v>766</v>
      </c>
      <c r="D56" s="8" t="s">
        <v>737</v>
      </c>
      <c r="E56" s="8" t="s">
        <v>767</v>
      </c>
      <c r="F56" s="8" t="s">
        <v>768</v>
      </c>
      <c r="G56" s="7" t="s">
        <v>307</v>
      </c>
      <c r="H56" s="8" t="s">
        <v>769</v>
      </c>
      <c r="I56" s="8" t="s">
        <v>770</v>
      </c>
      <c r="J56" s="8" t="s">
        <v>771</v>
      </c>
      <c r="K56" s="8" t="s">
        <v>772</v>
      </c>
      <c r="L56" s="8" t="s">
        <v>339</v>
      </c>
      <c r="M56" s="8" t="s">
        <v>773</v>
      </c>
      <c r="N56" s="8" t="s">
        <v>774</v>
      </c>
      <c r="O56" s="7" t="n">
        <v>1</v>
      </c>
      <c r="P56" s="8" t="s">
        <v>775</v>
      </c>
      <c r="Q56" s="7" t="s">
        <v>330</v>
      </c>
      <c r="R56" s="8"/>
      <c r="S56" s="7" t="n">
        <v>1</v>
      </c>
      <c r="T56" s="12" t="s">
        <v>317</v>
      </c>
    </row>
    <row r="57" customFormat="false" ht="22.35" hidden="false" customHeight="false" outlineLevel="0" collapsed="false">
      <c r="A57" s="7" t="n">
        <v>340</v>
      </c>
      <c r="B57" s="8" t="s">
        <v>776</v>
      </c>
      <c r="C57" s="8" t="s">
        <v>777</v>
      </c>
      <c r="D57" s="8" t="s">
        <v>737</v>
      </c>
      <c r="E57" s="8" t="s">
        <v>379</v>
      </c>
      <c r="F57" s="8" t="s">
        <v>778</v>
      </c>
      <c r="G57" s="7" t="s">
        <v>322</v>
      </c>
      <c r="H57" s="8" t="s">
        <v>779</v>
      </c>
      <c r="I57" s="8" t="s">
        <v>780</v>
      </c>
      <c r="J57" s="8" t="s">
        <v>781</v>
      </c>
      <c r="K57" s="8" t="s">
        <v>782</v>
      </c>
      <c r="L57" s="8" t="s">
        <v>339</v>
      </c>
      <c r="M57" s="8" t="s">
        <v>783</v>
      </c>
      <c r="N57" s="8"/>
      <c r="O57" s="7" t="n">
        <v>1</v>
      </c>
      <c r="P57" s="8" t="s">
        <v>784</v>
      </c>
      <c r="Q57" s="7" t="s">
        <v>330</v>
      </c>
      <c r="R57" s="8"/>
      <c r="S57" s="7" t="n">
        <v>2</v>
      </c>
      <c r="T57" s="12" t="s">
        <v>317</v>
      </c>
    </row>
    <row r="58" customFormat="false" ht="53.7" hidden="false" customHeight="false" outlineLevel="0" collapsed="false">
      <c r="A58" s="7" t="n">
        <v>343</v>
      </c>
      <c r="B58" s="8" t="s">
        <v>776</v>
      </c>
      <c r="C58" s="8" t="s">
        <v>785</v>
      </c>
      <c r="D58" s="8" t="s">
        <v>737</v>
      </c>
      <c r="E58" s="8" t="s">
        <v>379</v>
      </c>
      <c r="F58" s="8" t="s">
        <v>786</v>
      </c>
      <c r="G58" s="7" t="s">
        <v>307</v>
      </c>
      <c r="H58" s="8" t="s">
        <v>787</v>
      </c>
      <c r="I58" s="8" t="s">
        <v>788</v>
      </c>
      <c r="J58" s="8" t="s">
        <v>789</v>
      </c>
      <c r="K58" s="8" t="s">
        <v>790</v>
      </c>
      <c r="L58" s="8" t="s">
        <v>339</v>
      </c>
      <c r="M58" s="8" t="s">
        <v>791</v>
      </c>
      <c r="N58" s="8"/>
      <c r="O58" s="7" t="n">
        <v>2</v>
      </c>
      <c r="P58" s="8" t="s">
        <v>792</v>
      </c>
      <c r="Q58" s="7" t="s">
        <v>330</v>
      </c>
      <c r="R58" s="8"/>
      <c r="S58" s="7" t="n">
        <v>2</v>
      </c>
      <c r="T58" s="12" t="s">
        <v>317</v>
      </c>
    </row>
    <row r="59" customFormat="false" ht="32.8" hidden="false" customHeight="false" outlineLevel="0" collapsed="false">
      <c r="A59" s="7" t="n">
        <v>345</v>
      </c>
      <c r="B59" s="8" t="s">
        <v>793</v>
      </c>
      <c r="C59" s="8" t="s">
        <v>794</v>
      </c>
      <c r="D59" s="8" t="s">
        <v>737</v>
      </c>
      <c r="E59" s="8" t="s">
        <v>795</v>
      </c>
      <c r="F59" s="8" t="s">
        <v>796</v>
      </c>
      <c r="G59" s="7" t="s">
        <v>307</v>
      </c>
      <c r="H59" s="8" t="s">
        <v>797</v>
      </c>
      <c r="I59" s="8" t="s">
        <v>798</v>
      </c>
      <c r="J59" s="8" t="s">
        <v>799</v>
      </c>
      <c r="K59" s="8" t="s">
        <v>800</v>
      </c>
      <c r="L59" s="8" t="s">
        <v>339</v>
      </c>
      <c r="M59" s="8" t="s">
        <v>801</v>
      </c>
      <c r="N59" s="8"/>
      <c r="O59" s="7" t="n">
        <v>2</v>
      </c>
      <c r="P59" s="8" t="s">
        <v>802</v>
      </c>
      <c r="Q59" s="7" t="s">
        <v>330</v>
      </c>
      <c r="R59" s="8"/>
      <c r="S59" s="7" t="n">
        <v>1</v>
      </c>
      <c r="T59" s="12" t="s">
        <v>317</v>
      </c>
    </row>
    <row r="60" customFormat="false" ht="22.35" hidden="false" customHeight="false" outlineLevel="0" collapsed="false">
      <c r="A60" s="7" t="n">
        <v>352</v>
      </c>
      <c r="B60" s="8" t="s">
        <v>803</v>
      </c>
      <c r="C60" s="8" t="s">
        <v>804</v>
      </c>
      <c r="D60" s="8" t="s">
        <v>737</v>
      </c>
      <c r="E60" s="8" t="s">
        <v>805</v>
      </c>
      <c r="F60" s="8" t="s">
        <v>806</v>
      </c>
      <c r="G60" s="7" t="s">
        <v>307</v>
      </c>
      <c r="H60" s="8" t="s">
        <v>807</v>
      </c>
      <c r="I60" s="8" t="s">
        <v>808</v>
      </c>
      <c r="J60" s="8" t="s">
        <v>809</v>
      </c>
      <c r="K60" s="8" t="s">
        <v>810</v>
      </c>
      <c r="L60" s="8" t="s">
        <v>339</v>
      </c>
      <c r="M60" s="8" t="s">
        <v>811</v>
      </c>
      <c r="N60" s="8"/>
      <c r="O60" s="7"/>
      <c r="P60" s="8"/>
      <c r="Q60" s="7" t="s">
        <v>330</v>
      </c>
      <c r="R60" s="8"/>
      <c r="S60" s="7" t="n">
        <v>1</v>
      </c>
      <c r="T60" s="12" t="s">
        <v>317</v>
      </c>
    </row>
    <row r="61" customFormat="false" ht="32.8" hidden="false" customHeight="false" outlineLevel="0" collapsed="false">
      <c r="A61" s="7" t="n">
        <v>297</v>
      </c>
      <c r="B61" s="8" t="s">
        <v>812</v>
      </c>
      <c r="C61" s="8" t="s">
        <v>813</v>
      </c>
      <c r="D61" s="8" t="s">
        <v>814</v>
      </c>
      <c r="E61" s="8" t="s">
        <v>410</v>
      </c>
      <c r="F61" s="8" t="s">
        <v>815</v>
      </c>
      <c r="G61" s="7" t="s">
        <v>322</v>
      </c>
      <c r="H61" s="8" t="s">
        <v>816</v>
      </c>
      <c r="I61" s="8" t="s">
        <v>817</v>
      </c>
      <c r="J61" s="8" t="s">
        <v>818</v>
      </c>
      <c r="K61" s="8" t="s">
        <v>819</v>
      </c>
      <c r="L61" s="8" t="s">
        <v>373</v>
      </c>
      <c r="M61" s="8" t="s">
        <v>820</v>
      </c>
      <c r="N61" s="8"/>
      <c r="O61" s="7"/>
      <c r="P61" s="8"/>
      <c r="Q61" s="7" t="s">
        <v>315</v>
      </c>
      <c r="R61" s="8" t="s">
        <v>821</v>
      </c>
      <c r="S61" s="7" t="n">
        <v>2</v>
      </c>
      <c r="T61" s="12" t="s">
        <v>317</v>
      </c>
    </row>
    <row r="62" customFormat="false" ht="22.35" hidden="false" customHeight="false" outlineLevel="0" collapsed="false">
      <c r="A62" s="7" t="n">
        <v>298</v>
      </c>
      <c r="B62" s="8" t="s">
        <v>812</v>
      </c>
      <c r="C62" s="8" t="s">
        <v>822</v>
      </c>
      <c r="D62" s="8" t="s">
        <v>814</v>
      </c>
      <c r="E62" s="8" t="s">
        <v>410</v>
      </c>
      <c r="F62" s="8" t="s">
        <v>815</v>
      </c>
      <c r="G62" s="7" t="s">
        <v>322</v>
      </c>
      <c r="H62" s="8" t="s">
        <v>823</v>
      </c>
      <c r="I62" s="8" t="s">
        <v>824</v>
      </c>
      <c r="J62" s="8" t="s">
        <v>825</v>
      </c>
      <c r="K62" s="8" t="s">
        <v>826</v>
      </c>
      <c r="L62" s="8" t="s">
        <v>373</v>
      </c>
      <c r="M62" s="8" t="s">
        <v>827</v>
      </c>
      <c r="N62" s="8"/>
      <c r="O62" s="7"/>
      <c r="P62" s="8"/>
      <c r="Q62" s="7" t="s">
        <v>330</v>
      </c>
      <c r="R62" s="8"/>
      <c r="S62" s="7" t="n">
        <v>2</v>
      </c>
      <c r="T62" s="12" t="s">
        <v>317</v>
      </c>
    </row>
    <row r="63" customFormat="false" ht="22.35" hidden="false" customHeight="false" outlineLevel="0" collapsed="false">
      <c r="A63" s="7" t="n">
        <v>299</v>
      </c>
      <c r="B63" s="8" t="s">
        <v>342</v>
      </c>
      <c r="C63" s="8" t="s">
        <v>828</v>
      </c>
      <c r="D63" s="8" t="s">
        <v>814</v>
      </c>
      <c r="E63" s="8" t="s">
        <v>344</v>
      </c>
      <c r="F63" s="8" t="s">
        <v>829</v>
      </c>
      <c r="G63" s="7" t="s">
        <v>307</v>
      </c>
      <c r="H63" s="8" t="s">
        <v>830</v>
      </c>
      <c r="I63" s="8" t="s">
        <v>831</v>
      </c>
      <c r="J63" s="8" t="s">
        <v>832</v>
      </c>
      <c r="K63" s="8" t="s">
        <v>833</v>
      </c>
      <c r="L63" s="8" t="s">
        <v>373</v>
      </c>
      <c r="M63" s="8" t="s">
        <v>834</v>
      </c>
      <c r="N63" s="8"/>
      <c r="O63" s="7"/>
      <c r="P63" s="8"/>
      <c r="Q63" s="7" t="s">
        <v>330</v>
      </c>
      <c r="R63" s="8"/>
      <c r="S63" s="7" t="n">
        <v>6</v>
      </c>
      <c r="T63" s="12" t="s">
        <v>317</v>
      </c>
    </row>
    <row r="64" customFormat="false" ht="22.35" hidden="false" customHeight="false" outlineLevel="0" collapsed="false">
      <c r="A64" s="7" t="n">
        <v>310</v>
      </c>
      <c r="B64" s="8" t="s">
        <v>835</v>
      </c>
      <c r="C64" s="8" t="s">
        <v>836</v>
      </c>
      <c r="D64" s="8" t="s">
        <v>814</v>
      </c>
      <c r="E64" s="8" t="s">
        <v>390</v>
      </c>
      <c r="F64" s="8" t="s">
        <v>837</v>
      </c>
      <c r="G64" s="7" t="s">
        <v>307</v>
      </c>
      <c r="H64" s="8" t="s">
        <v>838</v>
      </c>
      <c r="I64" s="8" t="s">
        <v>839</v>
      </c>
      <c r="J64" s="8" t="s">
        <v>840</v>
      </c>
      <c r="K64" s="8" t="s">
        <v>841</v>
      </c>
      <c r="L64" s="8" t="s">
        <v>373</v>
      </c>
      <c r="M64" s="8" t="s">
        <v>842</v>
      </c>
      <c r="N64" s="8"/>
      <c r="O64" s="7" t="n">
        <v>1</v>
      </c>
      <c r="P64" s="8" t="s">
        <v>843</v>
      </c>
      <c r="Q64" s="7" t="s">
        <v>330</v>
      </c>
      <c r="R64" s="8"/>
      <c r="S64" s="7" t="n">
        <v>1</v>
      </c>
      <c r="T64" s="12" t="s">
        <v>317</v>
      </c>
    </row>
    <row r="65" customFormat="false" ht="22.35" hidden="false" customHeight="false" outlineLevel="0" collapsed="false">
      <c r="A65" s="7" t="n">
        <v>316</v>
      </c>
      <c r="B65" s="8" t="s">
        <v>342</v>
      </c>
      <c r="C65" s="8" t="s">
        <v>844</v>
      </c>
      <c r="D65" s="8" t="s">
        <v>814</v>
      </c>
      <c r="E65" s="8" t="s">
        <v>344</v>
      </c>
      <c r="F65" s="8" t="s">
        <v>400</v>
      </c>
      <c r="G65" s="7" t="s">
        <v>322</v>
      </c>
      <c r="H65" s="8" t="s">
        <v>845</v>
      </c>
      <c r="I65" s="8" t="s">
        <v>846</v>
      </c>
      <c r="J65" s="8" t="s">
        <v>847</v>
      </c>
      <c r="K65" s="8" t="s">
        <v>848</v>
      </c>
      <c r="L65" s="8" t="s">
        <v>339</v>
      </c>
      <c r="M65" s="8" t="s">
        <v>849</v>
      </c>
      <c r="N65" s="8"/>
      <c r="O65" s="7"/>
      <c r="P65" s="8"/>
      <c r="Q65" s="7" t="s">
        <v>330</v>
      </c>
      <c r="R65" s="8"/>
      <c r="S65" s="7" t="n">
        <v>6</v>
      </c>
      <c r="T65" s="12" t="s">
        <v>317</v>
      </c>
    </row>
    <row r="66" customFormat="false" ht="22.35" hidden="false" customHeight="false" outlineLevel="0" collapsed="false">
      <c r="A66" s="7" t="n">
        <v>341</v>
      </c>
      <c r="B66" s="8" t="s">
        <v>850</v>
      </c>
      <c r="C66" s="8" t="s">
        <v>851</v>
      </c>
      <c r="D66" s="8" t="s">
        <v>814</v>
      </c>
      <c r="E66" s="8" t="s">
        <v>390</v>
      </c>
      <c r="F66" s="8" t="s">
        <v>852</v>
      </c>
      <c r="G66" s="7" t="s">
        <v>307</v>
      </c>
      <c r="H66" s="8" t="s">
        <v>853</v>
      </c>
      <c r="I66" s="8" t="s">
        <v>854</v>
      </c>
      <c r="J66" s="8" t="s">
        <v>855</v>
      </c>
      <c r="K66" s="8" t="s">
        <v>856</v>
      </c>
      <c r="L66" s="8" t="s">
        <v>312</v>
      </c>
      <c r="M66" s="8" t="s">
        <v>857</v>
      </c>
      <c r="N66" s="8"/>
      <c r="O66" s="7" t="n">
        <v>3</v>
      </c>
      <c r="P66" s="8" t="s">
        <v>858</v>
      </c>
      <c r="Q66" s="7" t="s">
        <v>330</v>
      </c>
      <c r="R66" s="8"/>
      <c r="S66" s="7" t="n">
        <v>1</v>
      </c>
      <c r="T66" s="12" t="s">
        <v>317</v>
      </c>
    </row>
    <row r="67" customFormat="false" ht="22.35" hidden="false" customHeight="false" outlineLevel="0" collapsed="false">
      <c r="A67" s="7" t="n">
        <v>357</v>
      </c>
      <c r="B67" s="8" t="s">
        <v>859</v>
      </c>
      <c r="C67" s="8" t="s">
        <v>860</v>
      </c>
      <c r="D67" s="8" t="s">
        <v>814</v>
      </c>
      <c r="E67" s="8" t="s">
        <v>861</v>
      </c>
      <c r="F67" s="8" t="s">
        <v>862</v>
      </c>
      <c r="G67" s="7" t="s">
        <v>307</v>
      </c>
      <c r="H67" s="8" t="s">
        <v>863</v>
      </c>
      <c r="I67" s="8" t="s">
        <v>864</v>
      </c>
      <c r="J67" s="8" t="s">
        <v>865</v>
      </c>
      <c r="K67" s="8" t="s">
        <v>866</v>
      </c>
      <c r="L67" s="8" t="s">
        <v>312</v>
      </c>
      <c r="M67" s="8" t="s">
        <v>867</v>
      </c>
      <c r="N67" s="8"/>
      <c r="O67" s="7"/>
      <c r="P67" s="8"/>
      <c r="Q67" s="7" t="s">
        <v>330</v>
      </c>
      <c r="R67" s="8"/>
      <c r="S67" s="7" t="n">
        <v>1</v>
      </c>
      <c r="T67" s="12" t="s">
        <v>317</v>
      </c>
    </row>
    <row r="68" customFormat="false" ht="22.35" hidden="false" customHeight="false" outlineLevel="0" collapsed="false">
      <c r="A68" s="7" t="n">
        <v>363</v>
      </c>
      <c r="B68" s="8" t="s">
        <v>868</v>
      </c>
      <c r="C68" s="8" t="s">
        <v>869</v>
      </c>
      <c r="D68" s="8" t="s">
        <v>814</v>
      </c>
      <c r="E68" s="8" t="s">
        <v>659</v>
      </c>
      <c r="F68" s="8" t="s">
        <v>870</v>
      </c>
      <c r="G68" s="7" t="s">
        <v>307</v>
      </c>
      <c r="H68" s="8" t="s">
        <v>871</v>
      </c>
      <c r="I68" s="8" t="s">
        <v>872</v>
      </c>
      <c r="J68" s="8" t="s">
        <v>873</v>
      </c>
      <c r="K68" s="8" t="s">
        <v>874</v>
      </c>
      <c r="L68" s="8" t="s">
        <v>373</v>
      </c>
      <c r="M68" s="8" t="s">
        <v>875</v>
      </c>
      <c r="N68" s="8"/>
      <c r="O68" s="7"/>
      <c r="P68" s="8"/>
      <c r="Q68" s="7" t="s">
        <v>330</v>
      </c>
      <c r="R68" s="8"/>
      <c r="S68" s="7" t="n">
        <v>1</v>
      </c>
      <c r="T68" s="12" t="s">
        <v>317</v>
      </c>
    </row>
    <row r="69" customFormat="false" ht="22.35" hidden="false" customHeight="false" outlineLevel="0" collapsed="false">
      <c r="A69" s="7" t="n">
        <v>323</v>
      </c>
      <c r="B69" s="8" t="s">
        <v>426</v>
      </c>
      <c r="C69" s="8" t="s">
        <v>876</v>
      </c>
      <c r="D69" s="8" t="s">
        <v>877</v>
      </c>
      <c r="E69" s="8" t="s">
        <v>333</v>
      </c>
      <c r="F69" s="8" t="s">
        <v>878</v>
      </c>
      <c r="G69" s="7" t="s">
        <v>322</v>
      </c>
      <c r="H69" s="8" t="s">
        <v>879</v>
      </c>
      <c r="I69" s="8" t="s">
        <v>880</v>
      </c>
      <c r="J69" s="8" t="s">
        <v>881</v>
      </c>
      <c r="K69" s="8" t="s">
        <v>882</v>
      </c>
      <c r="L69" s="8" t="s">
        <v>455</v>
      </c>
      <c r="M69" s="8" t="s">
        <v>883</v>
      </c>
      <c r="N69" s="8"/>
      <c r="O69" s="7"/>
      <c r="P69" s="8"/>
      <c r="Q69" s="7" t="s">
        <v>330</v>
      </c>
      <c r="R69" s="8"/>
      <c r="S69" s="7" t="n">
        <v>19</v>
      </c>
      <c r="T69" s="12" t="s">
        <v>317</v>
      </c>
    </row>
    <row r="70" customFormat="false" ht="32.8" hidden="false" customHeight="false" outlineLevel="0" collapsed="false">
      <c r="A70" s="7" t="n">
        <v>330</v>
      </c>
      <c r="B70" s="8" t="s">
        <v>884</v>
      </c>
      <c r="C70" s="8" t="s">
        <v>885</v>
      </c>
      <c r="D70" s="8" t="s">
        <v>877</v>
      </c>
      <c r="E70" s="8" t="s">
        <v>886</v>
      </c>
      <c r="F70" s="8" t="s">
        <v>887</v>
      </c>
      <c r="G70" s="7" t="s">
        <v>307</v>
      </c>
      <c r="H70" s="8" t="s">
        <v>888</v>
      </c>
      <c r="I70" s="8" t="s">
        <v>889</v>
      </c>
      <c r="J70" s="8" t="s">
        <v>890</v>
      </c>
      <c r="K70" s="8" t="s">
        <v>891</v>
      </c>
      <c r="L70" s="8" t="s">
        <v>373</v>
      </c>
      <c r="M70" s="8" t="s">
        <v>892</v>
      </c>
      <c r="N70" s="8"/>
      <c r="O70" s="7"/>
      <c r="P70" s="8"/>
      <c r="Q70" s="7" t="s">
        <v>330</v>
      </c>
      <c r="R70" s="8"/>
      <c r="S70" s="7" t="n">
        <v>1</v>
      </c>
      <c r="T70" s="12" t="s">
        <v>317</v>
      </c>
    </row>
    <row r="71" customFormat="false" ht="32.8" hidden="false" customHeight="false" outlineLevel="0" collapsed="false">
      <c r="A71" s="7" t="n">
        <v>331</v>
      </c>
      <c r="B71" s="8" t="s">
        <v>426</v>
      </c>
      <c r="C71" s="8" t="s">
        <v>893</v>
      </c>
      <c r="D71" s="8" t="s">
        <v>877</v>
      </c>
      <c r="E71" s="8" t="s">
        <v>333</v>
      </c>
      <c r="F71" s="8" t="s">
        <v>878</v>
      </c>
      <c r="G71" s="7" t="s">
        <v>322</v>
      </c>
      <c r="H71" s="8" t="s">
        <v>894</v>
      </c>
      <c r="I71" s="8" t="s">
        <v>895</v>
      </c>
      <c r="J71" s="8" t="s">
        <v>896</v>
      </c>
      <c r="K71" s="8" t="s">
        <v>897</v>
      </c>
      <c r="L71" s="8" t="s">
        <v>455</v>
      </c>
      <c r="M71" s="8" t="s">
        <v>898</v>
      </c>
      <c r="N71" s="8" t="s">
        <v>899</v>
      </c>
      <c r="O71" s="7"/>
      <c r="P71" s="8"/>
      <c r="Q71" s="7" t="s">
        <v>330</v>
      </c>
      <c r="R71" s="8"/>
      <c r="S71" s="7" t="n">
        <v>19</v>
      </c>
      <c r="T71" s="12" t="s">
        <v>317</v>
      </c>
    </row>
    <row r="72" customFormat="false" ht="22.35" hidden="false" customHeight="false" outlineLevel="0" collapsed="false">
      <c r="A72" s="7" t="n">
        <v>349</v>
      </c>
      <c r="B72" s="8" t="s">
        <v>751</v>
      </c>
      <c r="C72" s="8" t="s">
        <v>900</v>
      </c>
      <c r="D72" s="8" t="s">
        <v>877</v>
      </c>
      <c r="E72" s="8" t="s">
        <v>333</v>
      </c>
      <c r="F72" s="8" t="s">
        <v>901</v>
      </c>
      <c r="G72" s="7" t="s">
        <v>307</v>
      </c>
      <c r="H72" s="8" t="s">
        <v>902</v>
      </c>
      <c r="I72" s="8" t="s">
        <v>903</v>
      </c>
      <c r="J72" s="8" t="s">
        <v>904</v>
      </c>
      <c r="K72" s="8" t="s">
        <v>905</v>
      </c>
      <c r="L72" s="8" t="s">
        <v>455</v>
      </c>
      <c r="M72" s="8" t="s">
        <v>906</v>
      </c>
      <c r="N72" s="8"/>
      <c r="O72" s="7"/>
      <c r="P72" s="8"/>
      <c r="Q72" s="7" t="s">
        <v>330</v>
      </c>
      <c r="R72" s="8"/>
      <c r="S72" s="7" t="n">
        <v>3</v>
      </c>
      <c r="T72" s="12" t="s">
        <v>317</v>
      </c>
    </row>
    <row r="73" customFormat="false" ht="22.35" hidden="false" customHeight="false" outlineLevel="0" collapsed="false">
      <c r="A73" s="7" t="n">
        <v>350</v>
      </c>
      <c r="B73" s="8" t="s">
        <v>751</v>
      </c>
      <c r="C73" s="8" t="s">
        <v>907</v>
      </c>
      <c r="D73" s="8" t="s">
        <v>877</v>
      </c>
      <c r="E73" s="8" t="s">
        <v>333</v>
      </c>
      <c r="F73" s="8" t="s">
        <v>901</v>
      </c>
      <c r="G73" s="7" t="s">
        <v>307</v>
      </c>
      <c r="H73" s="8" t="s">
        <v>908</v>
      </c>
      <c r="I73" s="8" t="s">
        <v>909</v>
      </c>
      <c r="J73" s="8" t="s">
        <v>910</v>
      </c>
      <c r="K73" s="8" t="s">
        <v>911</v>
      </c>
      <c r="L73" s="8" t="s">
        <v>373</v>
      </c>
      <c r="M73" s="8" t="s">
        <v>912</v>
      </c>
      <c r="N73" s="8"/>
      <c r="O73" s="7"/>
      <c r="P73" s="8"/>
      <c r="Q73" s="7" t="s">
        <v>330</v>
      </c>
      <c r="R73" s="8"/>
      <c r="S73" s="7" t="n">
        <v>3</v>
      </c>
      <c r="T73" s="12" t="s">
        <v>317</v>
      </c>
    </row>
    <row r="74" customFormat="false" ht="22.35" hidden="false" customHeight="false" outlineLevel="0" collapsed="false">
      <c r="A74" s="7" t="n">
        <v>284</v>
      </c>
      <c r="B74" s="8" t="s">
        <v>913</v>
      </c>
      <c r="C74" s="8" t="s">
        <v>914</v>
      </c>
      <c r="D74" s="8" t="s">
        <v>915</v>
      </c>
      <c r="E74" s="8" t="s">
        <v>916</v>
      </c>
      <c r="F74" s="8" t="s">
        <v>917</v>
      </c>
      <c r="G74" s="7" t="s">
        <v>307</v>
      </c>
      <c r="H74" s="8" t="s">
        <v>918</v>
      </c>
      <c r="I74" s="8" t="s">
        <v>919</v>
      </c>
      <c r="J74" s="8" t="s">
        <v>920</v>
      </c>
      <c r="K74" s="8" t="s">
        <v>921</v>
      </c>
      <c r="L74" s="8" t="s">
        <v>455</v>
      </c>
      <c r="M74" s="8" t="s">
        <v>922</v>
      </c>
      <c r="N74" s="8" t="s">
        <v>923</v>
      </c>
      <c r="O74" s="7"/>
      <c r="P74" s="8"/>
      <c r="Q74" s="7" t="s">
        <v>330</v>
      </c>
      <c r="R74" s="8"/>
      <c r="S74" s="7" t="n">
        <v>2</v>
      </c>
      <c r="T74" s="12" t="s">
        <v>317</v>
      </c>
    </row>
    <row r="75" customFormat="false" ht="22.35" hidden="false" customHeight="false" outlineLevel="0" collapsed="false">
      <c r="A75" s="7" t="n">
        <v>294</v>
      </c>
      <c r="B75" s="8" t="s">
        <v>913</v>
      </c>
      <c r="C75" s="8" t="s">
        <v>924</v>
      </c>
      <c r="D75" s="8" t="s">
        <v>915</v>
      </c>
      <c r="E75" s="8" t="s">
        <v>916</v>
      </c>
      <c r="F75" s="8" t="s">
        <v>925</v>
      </c>
      <c r="G75" s="7" t="s">
        <v>307</v>
      </c>
      <c r="H75" s="8" t="s">
        <v>926</v>
      </c>
      <c r="I75" s="8" t="s">
        <v>927</v>
      </c>
      <c r="J75" s="8" t="s">
        <v>928</v>
      </c>
      <c r="K75" s="8" t="s">
        <v>929</v>
      </c>
      <c r="L75" s="8" t="s">
        <v>339</v>
      </c>
      <c r="M75" s="8" t="s">
        <v>930</v>
      </c>
      <c r="N75" s="8"/>
      <c r="O75" s="7"/>
      <c r="P75" s="8"/>
      <c r="Q75" s="7" t="s">
        <v>330</v>
      </c>
      <c r="R75" s="8"/>
      <c r="S75" s="7" t="n">
        <v>2</v>
      </c>
      <c r="T75" s="12" t="s">
        <v>317</v>
      </c>
    </row>
    <row r="76" customFormat="false" ht="22.35" hidden="false" customHeight="false" outlineLevel="0" collapsed="false">
      <c r="A76" s="7" t="n">
        <v>319</v>
      </c>
      <c r="B76" s="8" t="s">
        <v>426</v>
      </c>
      <c r="C76" s="8" t="s">
        <v>931</v>
      </c>
      <c r="D76" s="8" t="s">
        <v>915</v>
      </c>
      <c r="E76" s="8" t="s">
        <v>333</v>
      </c>
      <c r="F76" s="8" t="s">
        <v>878</v>
      </c>
      <c r="G76" s="7" t="s">
        <v>322</v>
      </c>
      <c r="H76" s="8" t="s">
        <v>932</v>
      </c>
      <c r="I76" s="8" t="s">
        <v>933</v>
      </c>
      <c r="J76" s="8" t="s">
        <v>934</v>
      </c>
      <c r="K76" s="8" t="s">
        <v>935</v>
      </c>
      <c r="L76" s="8" t="s">
        <v>455</v>
      </c>
      <c r="M76" s="8" t="s">
        <v>936</v>
      </c>
      <c r="N76" s="8"/>
      <c r="O76" s="7"/>
      <c r="P76" s="8"/>
      <c r="Q76" s="7" t="s">
        <v>330</v>
      </c>
      <c r="R76" s="8"/>
      <c r="S76" s="7" t="n">
        <v>19</v>
      </c>
      <c r="T76" s="12" t="s">
        <v>317</v>
      </c>
    </row>
    <row r="77" customFormat="false" ht="22.35" hidden="false" customHeight="false" outlineLevel="0" collapsed="false">
      <c r="A77" s="7" t="n">
        <v>320</v>
      </c>
      <c r="B77" s="8" t="s">
        <v>426</v>
      </c>
      <c r="C77" s="8" t="s">
        <v>937</v>
      </c>
      <c r="D77" s="8" t="s">
        <v>915</v>
      </c>
      <c r="E77" s="8" t="s">
        <v>333</v>
      </c>
      <c r="F77" s="8" t="s">
        <v>878</v>
      </c>
      <c r="G77" s="7" t="s">
        <v>322</v>
      </c>
      <c r="H77" s="8" t="s">
        <v>938</v>
      </c>
      <c r="I77" s="8" t="s">
        <v>939</v>
      </c>
      <c r="J77" s="8" t="s">
        <v>940</v>
      </c>
      <c r="K77" s="8" t="s">
        <v>941</v>
      </c>
      <c r="L77" s="8" t="s">
        <v>455</v>
      </c>
      <c r="M77" s="8" t="s">
        <v>942</v>
      </c>
      <c r="N77" s="8" t="s">
        <v>943</v>
      </c>
      <c r="O77" s="7"/>
      <c r="P77" s="8"/>
      <c r="Q77" s="7" t="s">
        <v>330</v>
      </c>
      <c r="R77" s="8"/>
      <c r="S77" s="7" t="n">
        <v>19</v>
      </c>
      <c r="T77" s="12" t="s">
        <v>317</v>
      </c>
    </row>
    <row r="78" customFormat="false" ht="22.35" hidden="false" customHeight="false" outlineLevel="0" collapsed="false">
      <c r="A78" s="7" t="n">
        <v>321</v>
      </c>
      <c r="B78" s="8" t="s">
        <v>426</v>
      </c>
      <c r="C78" s="8" t="s">
        <v>944</v>
      </c>
      <c r="D78" s="8" t="s">
        <v>915</v>
      </c>
      <c r="E78" s="8" t="s">
        <v>333</v>
      </c>
      <c r="F78" s="8" t="s">
        <v>878</v>
      </c>
      <c r="G78" s="7" t="s">
        <v>322</v>
      </c>
      <c r="H78" s="8" t="s">
        <v>932</v>
      </c>
      <c r="I78" s="8" t="s">
        <v>945</v>
      </c>
      <c r="J78" s="8" t="s">
        <v>946</v>
      </c>
      <c r="K78" s="8" t="s">
        <v>941</v>
      </c>
      <c r="L78" s="8" t="s">
        <v>455</v>
      </c>
      <c r="M78" s="8" t="s">
        <v>942</v>
      </c>
      <c r="N78" s="8" t="s">
        <v>943</v>
      </c>
      <c r="O78" s="7"/>
      <c r="P78" s="8"/>
      <c r="Q78" s="7" t="s">
        <v>330</v>
      </c>
      <c r="R78" s="8"/>
      <c r="S78" s="7" t="n">
        <v>19</v>
      </c>
      <c r="T78" s="12" t="s">
        <v>317</v>
      </c>
    </row>
    <row r="79" customFormat="false" ht="22.35" hidden="false" customHeight="false" outlineLevel="0" collapsed="false">
      <c r="A79" s="7" t="n">
        <v>322</v>
      </c>
      <c r="B79" s="8" t="s">
        <v>426</v>
      </c>
      <c r="C79" s="8" t="s">
        <v>947</v>
      </c>
      <c r="D79" s="8" t="s">
        <v>915</v>
      </c>
      <c r="E79" s="8" t="s">
        <v>333</v>
      </c>
      <c r="F79" s="8" t="s">
        <v>878</v>
      </c>
      <c r="G79" s="7" t="s">
        <v>322</v>
      </c>
      <c r="H79" s="8" t="s">
        <v>938</v>
      </c>
      <c r="I79" s="8" t="s">
        <v>948</v>
      </c>
      <c r="J79" s="8" t="s">
        <v>949</v>
      </c>
      <c r="K79" s="8" t="s">
        <v>950</v>
      </c>
      <c r="L79" s="8" t="s">
        <v>455</v>
      </c>
      <c r="M79" s="8" t="s">
        <v>951</v>
      </c>
      <c r="N79" s="8"/>
      <c r="O79" s="7"/>
      <c r="P79" s="8"/>
      <c r="Q79" s="7" t="s">
        <v>330</v>
      </c>
      <c r="R79" s="8"/>
      <c r="S79" s="7" t="n">
        <v>19</v>
      </c>
      <c r="T79" s="12" t="s">
        <v>317</v>
      </c>
    </row>
    <row r="80" customFormat="false" ht="22.35" hidden="false" customHeight="false" outlineLevel="0" collapsed="false">
      <c r="A80" s="7" t="n">
        <v>325</v>
      </c>
      <c r="B80" s="8" t="s">
        <v>426</v>
      </c>
      <c r="C80" s="8" t="s">
        <v>952</v>
      </c>
      <c r="D80" s="8" t="s">
        <v>915</v>
      </c>
      <c r="E80" s="8" t="s">
        <v>333</v>
      </c>
      <c r="F80" s="8" t="s">
        <v>878</v>
      </c>
      <c r="G80" s="7" t="s">
        <v>322</v>
      </c>
      <c r="H80" s="8" t="s">
        <v>953</v>
      </c>
      <c r="I80" s="8" t="s">
        <v>954</v>
      </c>
      <c r="J80" s="8" t="s">
        <v>955</v>
      </c>
      <c r="K80" s="8" t="s">
        <v>956</v>
      </c>
      <c r="L80" s="8" t="s">
        <v>455</v>
      </c>
      <c r="M80" s="8" t="s">
        <v>957</v>
      </c>
      <c r="N80" s="8"/>
      <c r="O80" s="7"/>
      <c r="P80" s="8"/>
      <c r="Q80" s="7" t="s">
        <v>330</v>
      </c>
      <c r="R80" s="8"/>
      <c r="S80" s="7" t="n">
        <v>19</v>
      </c>
      <c r="T80" s="12" t="s">
        <v>317</v>
      </c>
    </row>
    <row r="81" customFormat="false" ht="32.8" hidden="false" customHeight="false" outlineLevel="0" collapsed="false">
      <c r="A81" s="7" t="n">
        <v>327</v>
      </c>
      <c r="B81" s="8" t="s">
        <v>426</v>
      </c>
      <c r="C81" s="8" t="s">
        <v>958</v>
      </c>
      <c r="D81" s="8" t="s">
        <v>915</v>
      </c>
      <c r="E81" s="8" t="s">
        <v>333</v>
      </c>
      <c r="F81" s="8" t="s">
        <v>878</v>
      </c>
      <c r="G81" s="7" t="s">
        <v>322</v>
      </c>
      <c r="H81" s="8" t="s">
        <v>932</v>
      </c>
      <c r="I81" s="8" t="s">
        <v>959</v>
      </c>
      <c r="J81" s="8" t="s">
        <v>960</v>
      </c>
      <c r="K81" s="8" t="s">
        <v>961</v>
      </c>
      <c r="L81" s="8" t="s">
        <v>455</v>
      </c>
      <c r="M81" s="8" t="s">
        <v>962</v>
      </c>
      <c r="N81" s="8"/>
      <c r="O81" s="7"/>
      <c r="P81" s="8"/>
      <c r="Q81" s="7" t="s">
        <v>330</v>
      </c>
      <c r="R81" s="8"/>
      <c r="S81" s="7" t="n">
        <v>19</v>
      </c>
      <c r="T81" s="12" t="s">
        <v>317</v>
      </c>
    </row>
    <row r="82" customFormat="false" ht="32.8" hidden="false" customHeight="false" outlineLevel="0" collapsed="false">
      <c r="A82" s="7" t="n">
        <v>328</v>
      </c>
      <c r="B82" s="8" t="s">
        <v>426</v>
      </c>
      <c r="C82" s="8" t="s">
        <v>963</v>
      </c>
      <c r="D82" s="8" t="s">
        <v>915</v>
      </c>
      <c r="E82" s="8" t="s">
        <v>333</v>
      </c>
      <c r="F82" s="8" t="s">
        <v>878</v>
      </c>
      <c r="G82" s="7" t="s">
        <v>322</v>
      </c>
      <c r="H82" s="8" t="s">
        <v>932</v>
      </c>
      <c r="I82" s="8" t="s">
        <v>964</v>
      </c>
      <c r="J82" s="8" t="s">
        <v>965</v>
      </c>
      <c r="K82" s="8" t="s">
        <v>966</v>
      </c>
      <c r="L82" s="8" t="s">
        <v>455</v>
      </c>
      <c r="M82" s="8" t="s">
        <v>962</v>
      </c>
      <c r="N82" s="8"/>
      <c r="O82" s="7"/>
      <c r="P82" s="8"/>
      <c r="Q82" s="7" t="s">
        <v>330</v>
      </c>
      <c r="R82" s="8"/>
      <c r="S82" s="7" t="n">
        <v>19</v>
      </c>
      <c r="T82" s="12" t="s">
        <v>317</v>
      </c>
    </row>
    <row r="83" customFormat="false" ht="22.35" hidden="false" customHeight="false" outlineLevel="0" collapsed="false">
      <c r="A83" s="7" t="n">
        <v>329</v>
      </c>
      <c r="B83" s="8" t="s">
        <v>426</v>
      </c>
      <c r="C83" s="8" t="s">
        <v>967</v>
      </c>
      <c r="D83" s="8" t="s">
        <v>915</v>
      </c>
      <c r="E83" s="8" t="s">
        <v>333</v>
      </c>
      <c r="F83" s="8" t="s">
        <v>878</v>
      </c>
      <c r="G83" s="7" t="s">
        <v>322</v>
      </c>
      <c r="H83" s="8" t="s">
        <v>953</v>
      </c>
      <c r="I83" s="8" t="s">
        <v>968</v>
      </c>
      <c r="J83" s="8" t="s">
        <v>969</v>
      </c>
      <c r="K83" s="8" t="s">
        <v>961</v>
      </c>
      <c r="L83" s="8" t="s">
        <v>455</v>
      </c>
      <c r="M83" s="8" t="s">
        <v>957</v>
      </c>
      <c r="N83" s="8"/>
      <c r="O83" s="7"/>
      <c r="P83" s="8"/>
      <c r="Q83" s="7" t="s">
        <v>330</v>
      </c>
      <c r="R83" s="8"/>
      <c r="S83" s="7" t="n">
        <v>19</v>
      </c>
      <c r="T83" s="12" t="s">
        <v>317</v>
      </c>
    </row>
    <row r="84" customFormat="false" ht="22.35" hidden="false" customHeight="false" outlineLevel="0" collapsed="false">
      <c r="A84" s="7" t="n">
        <v>346</v>
      </c>
      <c r="B84" s="8" t="s">
        <v>970</v>
      </c>
      <c r="C84" s="8" t="s">
        <v>971</v>
      </c>
      <c r="D84" s="8" t="s">
        <v>915</v>
      </c>
      <c r="E84" s="8" t="s">
        <v>510</v>
      </c>
      <c r="F84" s="8" t="s">
        <v>972</v>
      </c>
      <c r="G84" s="7" t="s">
        <v>307</v>
      </c>
      <c r="H84" s="8" t="s">
        <v>973</v>
      </c>
      <c r="I84" s="8" t="s">
        <v>974</v>
      </c>
      <c r="J84" s="8" t="s">
        <v>975</v>
      </c>
      <c r="K84" s="8" t="s">
        <v>976</v>
      </c>
      <c r="L84" s="8" t="s">
        <v>373</v>
      </c>
      <c r="M84" s="8" t="s">
        <v>977</v>
      </c>
      <c r="N84" s="8"/>
      <c r="O84" s="7"/>
      <c r="P84" s="8"/>
      <c r="Q84" s="7" t="s">
        <v>330</v>
      </c>
      <c r="R84" s="8"/>
      <c r="S84" s="7" t="n">
        <v>1</v>
      </c>
      <c r="T84" s="12" t="s">
        <v>317</v>
      </c>
    </row>
  </sheetData>
  <autoFilter ref="A1:T84"/>
  <conditionalFormatting sqref="O2:O84">
    <cfRule type="cellIs" priority="2" operator="equal" aboveAverage="0" equalAverage="0" bottom="0" percent="0" rank="0" text="" dxfId="8">
      <formula>3</formula>
    </cfRule>
    <cfRule type="cellIs" priority="3" operator="equal" aboveAverage="0" equalAverage="0" bottom="0" percent="0" rank="0" text="" dxfId="9">
      <formula>2</formula>
    </cfRule>
    <cfRule type="cellIs" priority="4" operator="equal" aboveAverage="0" equalAverage="0" bottom="0" percent="0" rank="0" text="" dxfId="10">
      <formula>1</formula>
    </cfRule>
  </conditionalFormatting>
  <conditionalFormatting sqref="Q2:Q84">
    <cfRule type="cellIs" priority="5" operator="equal" aboveAverage="0" equalAverage="0" bottom="0" percent="0" rank="0" text="" dxfId="9">
      <formula>"Partiel"</formula>
    </cfRule>
    <cfRule type="cellIs" priority="6" operator="equal" aboveAverage="0" equalAverage="0" bottom="0" percent="0" rank="0" text="" dxfId="10">
      <formula>"Non"</formula>
    </cfRule>
  </conditionalFormatting>
  <hyperlinks>
    <hyperlink ref="T2" r:id="rId1" display="Ouvrir le PDF"/>
    <hyperlink ref="T3" r:id="rId2" display="Ouvrir le PDF"/>
    <hyperlink ref="T4" r:id="rId3" display="Ouvrir le PDF"/>
    <hyperlink ref="T5" r:id="rId4" display="Ouvrir le PDF"/>
    <hyperlink ref="T6" r:id="rId5" display="Ouvrir le PDF"/>
    <hyperlink ref="T7" r:id="rId6" display="Ouvrir le PDF"/>
    <hyperlink ref="T8" r:id="rId7" display="Ouvrir le PDF"/>
    <hyperlink ref="T9" r:id="rId8" display="Ouvrir le PDF"/>
    <hyperlink ref="T10" r:id="rId9" display="Ouvrir le PDF"/>
    <hyperlink ref="T11" r:id="rId10" display="Ouvrir le PDF"/>
    <hyperlink ref="T12" r:id="rId11" display="Ouvrir le PDF"/>
    <hyperlink ref="T13" r:id="rId12" display="Ouvrir le PDF"/>
    <hyperlink ref="T14" r:id="rId13" display="Ouvrir le PDF"/>
    <hyperlink ref="T15" r:id="rId14" display="Ouvrir le PDF"/>
    <hyperlink ref="T16" r:id="rId15" display="Ouvrir le PDF"/>
    <hyperlink ref="T17" r:id="rId16" display="Ouvrir le PDF"/>
    <hyperlink ref="T18" r:id="rId17" display="Ouvrir le PDF"/>
    <hyperlink ref="T19" r:id="rId18" display="Ouvrir le PDF"/>
    <hyperlink ref="T20" r:id="rId19" display="Ouvrir le PDF"/>
    <hyperlink ref="T21" r:id="rId20" display="Ouvrir le PDF"/>
    <hyperlink ref="T22" r:id="rId21" display="Ouvrir le PDF"/>
    <hyperlink ref="T23" r:id="rId22" display="Ouvrir le PDF"/>
    <hyperlink ref="T24" r:id="rId23" display="Ouvrir le PDF"/>
    <hyperlink ref="T25" r:id="rId24" display="Ouvrir le PDF"/>
    <hyperlink ref="T26" r:id="rId25" display="Ouvrir le PDF"/>
    <hyperlink ref="T27" r:id="rId26" display="Ouvrir le PDF"/>
    <hyperlink ref="T28" r:id="rId27" display="Ouvrir le PDF"/>
    <hyperlink ref="T29" r:id="rId28" display="Ouvrir le PDF"/>
    <hyperlink ref="T30" r:id="rId29" display="Ouvrir le PDF"/>
    <hyperlink ref="T31" r:id="rId30" display="Ouvrir le PDF"/>
    <hyperlink ref="T32" r:id="rId31" display="Ouvrir le PDF"/>
    <hyperlink ref="T33" r:id="rId32" display="Ouvrir le PDF"/>
    <hyperlink ref="T34" r:id="rId33" display="Ouvrir le PDF"/>
    <hyperlink ref="T35" r:id="rId34" display="Ouvrir le PDF"/>
    <hyperlink ref="T36" r:id="rId35" display="Ouvrir le PDF"/>
    <hyperlink ref="T37" r:id="rId36" display="Ouvrir le PDF"/>
    <hyperlink ref="T38" r:id="rId37" display="Ouvrir le PDF"/>
    <hyperlink ref="T39" r:id="rId38" display="Ouvrir le PDF"/>
    <hyperlink ref="T40" r:id="rId39" display="Ouvrir le PDF"/>
    <hyperlink ref="T41" r:id="rId40" display="Ouvrir le PDF"/>
    <hyperlink ref="T42" r:id="rId41" display="Ouvrir le PDF"/>
    <hyperlink ref="T43" r:id="rId42" display="Ouvrir le PDF"/>
    <hyperlink ref="T44" r:id="rId43" display="Ouvrir le PDF"/>
    <hyperlink ref="T45" r:id="rId44" display="Ouvrir le PDF"/>
    <hyperlink ref="T46" r:id="rId45" display="Ouvrir le PDF"/>
    <hyperlink ref="T47" r:id="rId46" display="Ouvrir le PDF"/>
    <hyperlink ref="T48" r:id="rId47" display="Ouvrir le PDF"/>
    <hyperlink ref="T49" r:id="rId48" display="Ouvrir le PDF"/>
    <hyperlink ref="T50" r:id="rId49" display="Ouvrir le PDF"/>
    <hyperlink ref="T51" r:id="rId50" display="Ouvrir le PDF"/>
    <hyperlink ref="T52" r:id="rId51" display="Ouvrir le PDF"/>
    <hyperlink ref="T53" r:id="rId52" display="Ouvrir le PDF"/>
    <hyperlink ref="T54" r:id="rId53" display="Ouvrir le PDF"/>
    <hyperlink ref="T55" r:id="rId54" display="Ouvrir le PDF"/>
    <hyperlink ref="T56" r:id="rId55" display="Ouvrir le PDF"/>
    <hyperlink ref="T57" r:id="rId56" display="Ouvrir le PDF"/>
    <hyperlink ref="T58" r:id="rId57" display="Ouvrir le PDF"/>
    <hyperlink ref="T59" r:id="rId58" display="Ouvrir le PDF"/>
    <hyperlink ref="T60" r:id="rId59" display="Ouvrir le PDF"/>
    <hyperlink ref="T61" r:id="rId60" display="Ouvrir le PDF"/>
    <hyperlink ref="T62" r:id="rId61" display="Ouvrir le PDF"/>
    <hyperlink ref="T63" r:id="rId62" display="Ouvrir le PDF"/>
    <hyperlink ref="T64" r:id="rId63" display="Ouvrir le PDF"/>
    <hyperlink ref="T65" r:id="rId64" display="Ouvrir le PDF"/>
    <hyperlink ref="T66" r:id="rId65" display="Ouvrir le PDF"/>
    <hyperlink ref="T67" r:id="rId66" display="Ouvrir le PDF"/>
    <hyperlink ref="T68" r:id="rId67" display="Ouvrir le PDF"/>
    <hyperlink ref="T69" r:id="rId68" display="Ouvrir le PDF"/>
    <hyperlink ref="T70" r:id="rId69" display="Ouvrir le PDF"/>
    <hyperlink ref="T71" r:id="rId70" display="Ouvrir le PDF"/>
    <hyperlink ref="T72" r:id="rId71" display="Ouvrir le PDF"/>
    <hyperlink ref="T73" r:id="rId72" display="Ouvrir le PDF"/>
    <hyperlink ref="T74" r:id="rId73" display="Ouvrir le PDF"/>
    <hyperlink ref="T75" r:id="rId74" display="Ouvrir le PDF"/>
    <hyperlink ref="T76" r:id="rId75" display="Ouvrir le PDF"/>
    <hyperlink ref="T77" r:id="rId76" display="Ouvrir le PDF"/>
    <hyperlink ref="T78" r:id="rId77" display="Ouvrir le PDF"/>
    <hyperlink ref="T79" r:id="rId78" display="Ouvrir le PDF"/>
    <hyperlink ref="T80" r:id="rId79" display="Ouvrir le PDF"/>
    <hyperlink ref="T81" r:id="rId80" display="Ouvrir le PDF"/>
    <hyperlink ref="T82" r:id="rId81" display="Ouvrir le PDF"/>
    <hyperlink ref="T83" r:id="rId82" display="Ouvrir le PDF"/>
    <hyperlink ref="T84" r:id="rId83" display="Ouvrir le 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48"/>
    <col collapsed="false" customWidth="true" hidden="false" outlineLevel="0" max="4" min="4" style="0" width="17"/>
    <col collapsed="false" customWidth="true" hidden="false" outlineLevel="0" max="40" min="5" style="0" width="11"/>
    <col collapsed="false" customWidth="true" hidden="false" outlineLevel="0" max="47" min="41" style="0" width="13"/>
    <col collapsed="false" customWidth="true" hidden="false" outlineLevel="0" max="49" min="48" style="0" width="11"/>
    <col collapsed="false" customWidth="true" hidden="false" outlineLevel="0" max="50" min="50" style="0" width="10"/>
    <col collapsed="false" customWidth="true" hidden="false" outlineLevel="0" max="51" min="51" style="0" width="30"/>
  </cols>
  <sheetData>
    <row r="1" customFormat="false" ht="17.35" hidden="false" customHeight="false" outlineLevel="0" collapsed="false">
      <c r="A1" s="4" t="s">
        <v>978</v>
      </c>
    </row>
    <row r="2" customFormat="false" ht="39.75" hidden="false" customHeight="true" outlineLevel="0" collapsed="false">
      <c r="A2" s="13" t="s">
        <v>979</v>
      </c>
      <c r="B2" s="13"/>
      <c r="C2" s="13"/>
      <c r="D2" s="13"/>
      <c r="E2" s="13"/>
      <c r="F2" s="13"/>
      <c r="G2" s="13"/>
      <c r="H2" s="13"/>
      <c r="I2" s="13"/>
      <c r="J2" s="13"/>
      <c r="K2" s="13"/>
      <c r="L2" s="13"/>
      <c r="M2" s="13"/>
      <c r="N2" s="13"/>
      <c r="O2" s="13"/>
      <c r="P2" s="13"/>
      <c r="Q2" s="13"/>
      <c r="R2" s="13"/>
      <c r="S2" s="13"/>
      <c r="T2" s="13"/>
    </row>
    <row r="3" customFormat="false" ht="15" hidden="false" customHeight="false" outlineLevel="0" collapsed="false">
      <c r="E3" s="14" t="s">
        <v>46</v>
      </c>
      <c r="F3" s="15"/>
      <c r="G3" s="15"/>
      <c r="H3" s="15"/>
      <c r="I3" s="15"/>
      <c r="J3" s="15"/>
      <c r="K3" s="15"/>
      <c r="L3" s="15"/>
      <c r="M3" s="15"/>
      <c r="N3" s="14" t="s">
        <v>109</v>
      </c>
      <c r="O3" s="15"/>
      <c r="P3" s="15"/>
      <c r="Q3" s="15"/>
      <c r="R3" s="15"/>
      <c r="S3" s="14" t="s">
        <v>142</v>
      </c>
      <c r="T3" s="15"/>
      <c r="U3" s="15"/>
      <c r="V3" s="15"/>
      <c r="W3" s="14" t="s">
        <v>167</v>
      </c>
      <c r="X3" s="15"/>
      <c r="Y3" s="15"/>
      <c r="Z3" s="15"/>
      <c r="AA3" s="15"/>
      <c r="AB3" s="15"/>
      <c r="AC3" s="14" t="s">
        <v>206</v>
      </c>
      <c r="AD3" s="15"/>
      <c r="AE3" s="15"/>
      <c r="AF3" s="15"/>
      <c r="AG3" s="14" t="s">
        <v>233</v>
      </c>
      <c r="AH3" s="15"/>
      <c r="AI3" s="15"/>
      <c r="AJ3" s="15"/>
      <c r="AK3" s="15"/>
      <c r="AL3" s="15"/>
      <c r="AM3" s="15"/>
      <c r="AN3" s="15"/>
      <c r="AO3" s="14" t="s">
        <v>980</v>
      </c>
      <c r="AP3" s="15"/>
      <c r="AQ3" s="15"/>
      <c r="AR3" s="15"/>
      <c r="AS3" s="15"/>
      <c r="AT3" s="15"/>
      <c r="AU3" s="15"/>
      <c r="AV3" s="15"/>
      <c r="AW3" s="15"/>
      <c r="AX3" s="15"/>
      <c r="AY3" s="15"/>
    </row>
    <row r="4" customFormat="false" ht="91.5" hidden="false" customHeight="true" outlineLevel="0" collapsed="false">
      <c r="A4" s="6" t="s">
        <v>282</v>
      </c>
      <c r="B4" s="6" t="s">
        <v>283</v>
      </c>
      <c r="C4" s="6" t="s">
        <v>284</v>
      </c>
      <c r="D4" s="6" t="s">
        <v>981</v>
      </c>
      <c r="E4" s="6" t="s">
        <v>982</v>
      </c>
      <c r="F4" s="6" t="s">
        <v>983</v>
      </c>
      <c r="G4" s="6" t="s">
        <v>984</v>
      </c>
      <c r="H4" s="6" t="s">
        <v>985</v>
      </c>
      <c r="I4" s="6" t="s">
        <v>986</v>
      </c>
      <c r="J4" s="6" t="s">
        <v>987</v>
      </c>
      <c r="K4" s="6" t="s">
        <v>988</v>
      </c>
      <c r="L4" s="6" t="s">
        <v>989</v>
      </c>
      <c r="M4" s="6" t="s">
        <v>990</v>
      </c>
      <c r="N4" s="6" t="s">
        <v>991</v>
      </c>
      <c r="O4" s="6" t="s">
        <v>992</v>
      </c>
      <c r="P4" s="6" t="s">
        <v>993</v>
      </c>
      <c r="Q4" s="6" t="s">
        <v>994</v>
      </c>
      <c r="R4" s="6" t="s">
        <v>995</v>
      </c>
      <c r="S4" s="6" t="s">
        <v>996</v>
      </c>
      <c r="T4" s="6" t="s">
        <v>997</v>
      </c>
      <c r="U4" s="6" t="s">
        <v>998</v>
      </c>
      <c r="V4" s="6" t="s">
        <v>999</v>
      </c>
      <c r="W4" s="6" t="s">
        <v>1000</v>
      </c>
      <c r="X4" s="6" t="s">
        <v>1001</v>
      </c>
      <c r="Y4" s="6" t="s">
        <v>1002</v>
      </c>
      <c r="Z4" s="6" t="s">
        <v>1003</v>
      </c>
      <c r="AA4" s="6" t="s">
        <v>1004</v>
      </c>
      <c r="AB4" s="6" t="s">
        <v>1005</v>
      </c>
      <c r="AC4" s="6" t="s">
        <v>1006</v>
      </c>
      <c r="AD4" s="6" t="s">
        <v>1007</v>
      </c>
      <c r="AE4" s="6" t="s">
        <v>1008</v>
      </c>
      <c r="AF4" s="6" t="s">
        <v>1009</v>
      </c>
      <c r="AG4" s="6" t="s">
        <v>1010</v>
      </c>
      <c r="AH4" s="6" t="s">
        <v>1011</v>
      </c>
      <c r="AI4" s="6" t="s">
        <v>1012</v>
      </c>
      <c r="AJ4" s="6" t="s">
        <v>1013</v>
      </c>
      <c r="AK4" s="6" t="s">
        <v>1014</v>
      </c>
      <c r="AL4" s="6" t="s">
        <v>1015</v>
      </c>
      <c r="AM4" s="6" t="s">
        <v>1016</v>
      </c>
      <c r="AN4" s="6" t="s">
        <v>1017</v>
      </c>
      <c r="AO4" s="6" t="s">
        <v>1018</v>
      </c>
      <c r="AP4" s="6" t="s">
        <v>1019</v>
      </c>
      <c r="AQ4" s="6" t="s">
        <v>1020</v>
      </c>
      <c r="AR4" s="6" t="s">
        <v>1021</v>
      </c>
      <c r="AS4" s="6" t="s">
        <v>1022</v>
      </c>
      <c r="AT4" s="6" t="s">
        <v>1023</v>
      </c>
      <c r="AU4" s="6" t="s">
        <v>1024</v>
      </c>
      <c r="AV4" s="6" t="s">
        <v>1025</v>
      </c>
      <c r="AW4" s="6" t="s">
        <v>1026</v>
      </c>
      <c r="AX4" s="6" t="s">
        <v>1027</v>
      </c>
      <c r="AY4" s="6" t="s">
        <v>1028</v>
      </c>
    </row>
    <row r="5" customFormat="false" ht="15" hidden="false" customHeight="false" outlineLevel="0" collapsed="false">
      <c r="A5" s="7" t="n">
        <v>279</v>
      </c>
      <c r="B5" s="8" t="s">
        <v>376</v>
      </c>
      <c r="C5" s="8" t="s">
        <v>736</v>
      </c>
      <c r="D5" s="8" t="s">
        <v>737</v>
      </c>
      <c r="E5" s="7" t="n">
        <v>1</v>
      </c>
      <c r="F5" s="7" t="n">
        <v>1</v>
      </c>
      <c r="G5" s="7" t="n">
        <v>1</v>
      </c>
      <c r="H5" s="7" t="n">
        <v>1</v>
      </c>
      <c r="I5" s="7" t="n">
        <v>1</v>
      </c>
      <c r="J5" s="7" t="n">
        <v>1</v>
      </c>
      <c r="K5" s="7" t="n">
        <v>1</v>
      </c>
      <c r="L5" s="7" t="n">
        <v>2</v>
      </c>
      <c r="M5" s="9"/>
      <c r="N5" s="7" t="n">
        <v>2</v>
      </c>
      <c r="O5" s="7" t="n">
        <v>1</v>
      </c>
      <c r="P5" s="7" t="n">
        <v>3</v>
      </c>
      <c r="Q5" s="7" t="n">
        <v>3</v>
      </c>
      <c r="R5" s="7" t="n">
        <v>1</v>
      </c>
      <c r="S5" s="7" t="n">
        <v>2</v>
      </c>
      <c r="T5" s="7" t="n">
        <v>2</v>
      </c>
      <c r="U5" s="7" t="n">
        <v>2</v>
      </c>
      <c r="V5" s="7" t="n">
        <v>2</v>
      </c>
      <c r="W5" s="7" t="n">
        <v>1</v>
      </c>
      <c r="X5" s="7" t="n">
        <v>4</v>
      </c>
      <c r="Y5" s="7" t="n">
        <v>2</v>
      </c>
      <c r="Z5" s="7" t="n">
        <v>1</v>
      </c>
      <c r="AA5" s="7" t="n">
        <v>5</v>
      </c>
      <c r="AB5" s="7" t="n">
        <v>3</v>
      </c>
      <c r="AC5" s="7" t="n">
        <v>1</v>
      </c>
      <c r="AD5" s="7" t="n">
        <v>2</v>
      </c>
      <c r="AE5" s="7" t="n">
        <v>4</v>
      </c>
      <c r="AF5" s="7" t="n">
        <v>3</v>
      </c>
      <c r="AG5" s="7" t="n">
        <v>4</v>
      </c>
      <c r="AH5" s="7" t="n">
        <v>2</v>
      </c>
      <c r="AI5" s="7" t="n">
        <v>3</v>
      </c>
      <c r="AJ5" s="9"/>
      <c r="AK5" s="7" t="n">
        <v>3</v>
      </c>
      <c r="AL5" s="7" t="n">
        <v>3</v>
      </c>
      <c r="AM5" s="7" t="n">
        <v>1</v>
      </c>
      <c r="AN5" s="7" t="n">
        <v>2</v>
      </c>
      <c r="AO5" s="16" t="n">
        <f aca="false">MAX(E5:K5)</f>
        <v>1</v>
      </c>
      <c r="AP5" s="17" t="n">
        <f aca="false">AVERAGE(N5:R5)</f>
        <v>2</v>
      </c>
      <c r="AQ5" s="17" t="n">
        <f aca="false">AVERAGE(S5:V5)</f>
        <v>2</v>
      </c>
      <c r="AR5" s="17" t="n">
        <f aca="false">AVERAGE(W5,X5,Z5,AB5)</f>
        <v>2.25</v>
      </c>
      <c r="AS5" s="17" t="n">
        <f aca="false">AVERAGE(AC5:AF5)</f>
        <v>2.5</v>
      </c>
      <c r="AT5" s="17" t="n">
        <f aca="false">AVERAGE(Y5,AA5,AG5:AM5)</f>
        <v>2.875</v>
      </c>
      <c r="AU5" s="18" t="n">
        <f aca="false">(AO5+AP5+AQ5+AR5+AS5+(6-AT5))/6</f>
        <v>2.14583333333333</v>
      </c>
      <c r="AV5" s="7" t="s">
        <v>1029</v>
      </c>
      <c r="AW5" s="7" t="s">
        <v>1030</v>
      </c>
      <c r="AX5" s="7" t="n">
        <v>1</v>
      </c>
      <c r="AY5" s="8"/>
    </row>
    <row r="6" customFormat="false" ht="15" hidden="false" customHeight="false" outlineLevel="0" collapsed="false">
      <c r="A6" s="7" t="n">
        <v>280</v>
      </c>
      <c r="B6" s="8" t="s">
        <v>376</v>
      </c>
      <c r="C6" s="8" t="s">
        <v>377</v>
      </c>
      <c r="D6" s="8" t="s">
        <v>378</v>
      </c>
      <c r="E6" s="7" t="n">
        <v>1</v>
      </c>
      <c r="F6" s="7" t="n">
        <v>1</v>
      </c>
      <c r="G6" s="7" t="n">
        <v>1</v>
      </c>
      <c r="H6" s="7" t="n">
        <v>1</v>
      </c>
      <c r="I6" s="7" t="n">
        <v>2</v>
      </c>
      <c r="J6" s="7" t="n">
        <v>1</v>
      </c>
      <c r="K6" s="7" t="n">
        <v>1</v>
      </c>
      <c r="L6" s="7" t="n">
        <v>3</v>
      </c>
      <c r="M6" s="9"/>
      <c r="N6" s="7" t="n">
        <v>2</v>
      </c>
      <c r="O6" s="7" t="n">
        <v>1</v>
      </c>
      <c r="P6" s="7" t="n">
        <v>3</v>
      </c>
      <c r="Q6" s="7" t="n">
        <v>3</v>
      </c>
      <c r="R6" s="7" t="n">
        <v>1</v>
      </c>
      <c r="S6" s="7" t="n">
        <v>2</v>
      </c>
      <c r="T6" s="7" t="n">
        <v>2</v>
      </c>
      <c r="U6" s="7" t="n">
        <v>2</v>
      </c>
      <c r="V6" s="7" t="n">
        <v>2</v>
      </c>
      <c r="W6" s="7" t="n">
        <v>1</v>
      </c>
      <c r="X6" s="7" t="n">
        <v>4</v>
      </c>
      <c r="Y6" s="7" t="n">
        <v>3</v>
      </c>
      <c r="Z6" s="7" t="n">
        <v>1</v>
      </c>
      <c r="AA6" s="7" t="n">
        <v>5</v>
      </c>
      <c r="AB6" s="7" t="n">
        <v>3</v>
      </c>
      <c r="AC6" s="7" t="n">
        <v>1</v>
      </c>
      <c r="AD6" s="7" t="n">
        <v>4</v>
      </c>
      <c r="AE6" s="7" t="n">
        <v>4</v>
      </c>
      <c r="AF6" s="7" t="n">
        <v>3</v>
      </c>
      <c r="AG6" s="7" t="n">
        <v>4</v>
      </c>
      <c r="AH6" s="7" t="n">
        <v>4</v>
      </c>
      <c r="AI6" s="7" t="n">
        <v>3</v>
      </c>
      <c r="AJ6" s="9"/>
      <c r="AK6" s="7" t="n">
        <v>4</v>
      </c>
      <c r="AL6" s="7" t="n">
        <v>3</v>
      </c>
      <c r="AM6" s="7" t="n">
        <v>1</v>
      </c>
      <c r="AN6" s="7" t="n">
        <v>2</v>
      </c>
      <c r="AO6" s="16" t="n">
        <f aca="false">MAX(E6:K6)</f>
        <v>2</v>
      </c>
      <c r="AP6" s="17" t="n">
        <f aca="false">AVERAGE(N6:R6)</f>
        <v>2</v>
      </c>
      <c r="AQ6" s="17" t="n">
        <f aca="false">AVERAGE(S6:V6)</f>
        <v>2</v>
      </c>
      <c r="AR6" s="17" t="n">
        <f aca="false">AVERAGE(W6,X6,Z6,AB6)</f>
        <v>2.25</v>
      </c>
      <c r="AS6" s="17" t="n">
        <f aca="false">AVERAGE(AC6:AF6)</f>
        <v>3</v>
      </c>
      <c r="AT6" s="17" t="n">
        <f aca="false">AVERAGE(Y6,AA6,AG6:AM6)</f>
        <v>3.375</v>
      </c>
      <c r="AU6" s="18" t="n">
        <f aca="false">(AO6+AP6+AQ6+AR6+AS6+(6-AT6))/6</f>
        <v>2.3125</v>
      </c>
      <c r="AV6" s="7" t="s">
        <v>1029</v>
      </c>
      <c r="AW6" s="7" t="s">
        <v>1030</v>
      </c>
      <c r="AX6" s="7" t="n">
        <v>1</v>
      </c>
      <c r="AY6" s="8" t="s">
        <v>1031</v>
      </c>
    </row>
    <row r="7" customFormat="false" ht="22.35" hidden="false" customHeight="false" outlineLevel="0" collapsed="false">
      <c r="A7" s="7" t="n">
        <v>281</v>
      </c>
      <c r="B7" s="8" t="s">
        <v>302</v>
      </c>
      <c r="C7" s="8" t="s">
        <v>303</v>
      </c>
      <c r="D7" s="8" t="s">
        <v>304</v>
      </c>
      <c r="E7" s="7" t="n">
        <v>1</v>
      </c>
      <c r="F7" s="7" t="n">
        <v>1</v>
      </c>
      <c r="G7" s="7" t="n">
        <v>5</v>
      </c>
      <c r="H7" s="7" t="n">
        <v>3</v>
      </c>
      <c r="I7" s="7" t="n">
        <v>2</v>
      </c>
      <c r="J7" s="7" t="n">
        <v>4</v>
      </c>
      <c r="K7" s="7" t="n">
        <v>1</v>
      </c>
      <c r="L7" s="7" t="n">
        <v>3</v>
      </c>
      <c r="M7" s="9"/>
      <c r="N7" s="7" t="n">
        <v>5</v>
      </c>
      <c r="O7" s="7" t="n">
        <v>3</v>
      </c>
      <c r="P7" s="7" t="n">
        <v>3</v>
      </c>
      <c r="Q7" s="7" t="n">
        <v>2</v>
      </c>
      <c r="R7" s="7" t="n">
        <v>2</v>
      </c>
      <c r="S7" s="7" t="n">
        <v>3</v>
      </c>
      <c r="T7" s="7" t="n">
        <v>3</v>
      </c>
      <c r="U7" s="7" t="n">
        <v>4</v>
      </c>
      <c r="V7" s="7" t="n">
        <v>4</v>
      </c>
      <c r="W7" s="7" t="n">
        <v>2</v>
      </c>
      <c r="X7" s="7" t="n">
        <v>4</v>
      </c>
      <c r="Y7" s="7" t="n">
        <v>2</v>
      </c>
      <c r="Z7" s="7" t="n">
        <v>2</v>
      </c>
      <c r="AA7" s="7" t="n">
        <v>4</v>
      </c>
      <c r="AB7" s="7" t="n">
        <v>3</v>
      </c>
      <c r="AC7" s="7" t="n">
        <v>3</v>
      </c>
      <c r="AD7" s="7" t="n">
        <v>3</v>
      </c>
      <c r="AE7" s="7" t="n">
        <v>4</v>
      </c>
      <c r="AF7" s="7" t="n">
        <v>4</v>
      </c>
      <c r="AG7" s="7" t="n">
        <v>4</v>
      </c>
      <c r="AH7" s="7" t="n">
        <v>3</v>
      </c>
      <c r="AI7" s="7" t="n">
        <v>4</v>
      </c>
      <c r="AJ7" s="9"/>
      <c r="AK7" s="7" t="n">
        <v>3</v>
      </c>
      <c r="AL7" s="7" t="n">
        <v>2</v>
      </c>
      <c r="AM7" s="7" t="n">
        <v>1</v>
      </c>
      <c r="AN7" s="7" t="n">
        <v>2</v>
      </c>
      <c r="AO7" s="16" t="n">
        <f aca="false">MAX(E7:K7)</f>
        <v>5</v>
      </c>
      <c r="AP7" s="17" t="n">
        <f aca="false">AVERAGE(N7:R7)</f>
        <v>3</v>
      </c>
      <c r="AQ7" s="17" t="n">
        <f aca="false">AVERAGE(S7:V7)</f>
        <v>3.5</v>
      </c>
      <c r="AR7" s="17" t="n">
        <f aca="false">AVERAGE(W7,X7,Z7,AB7)</f>
        <v>2.75</v>
      </c>
      <c r="AS7" s="17" t="n">
        <f aca="false">AVERAGE(AC7:AF7)</f>
        <v>3.5</v>
      </c>
      <c r="AT7" s="17" t="n">
        <f aca="false">AVERAGE(Y7,AA7,AG7:AM7)</f>
        <v>2.875</v>
      </c>
      <c r="AU7" s="18" t="n">
        <f aca="false">(AO7+AP7+AQ7+AR7+AS7+(6-AT7))/6</f>
        <v>3.47916666666667</v>
      </c>
      <c r="AV7" s="7" t="s">
        <v>1029</v>
      </c>
      <c r="AW7" s="7" t="s">
        <v>1030</v>
      </c>
      <c r="AX7" s="7" t="n">
        <v>2</v>
      </c>
      <c r="AY7" s="8" t="s">
        <v>1032</v>
      </c>
    </row>
    <row r="8" customFormat="false" ht="22.35" hidden="false" customHeight="false" outlineLevel="0" collapsed="false">
      <c r="A8" s="7" t="n">
        <v>282</v>
      </c>
      <c r="B8" s="8" t="s">
        <v>302</v>
      </c>
      <c r="C8" s="8" t="s">
        <v>490</v>
      </c>
      <c r="D8" s="8" t="s">
        <v>491</v>
      </c>
      <c r="E8" s="7" t="n">
        <v>1</v>
      </c>
      <c r="F8" s="7" t="n">
        <v>1</v>
      </c>
      <c r="G8" s="7" t="n">
        <v>3</v>
      </c>
      <c r="H8" s="7" t="n">
        <v>5</v>
      </c>
      <c r="I8" s="7" t="n">
        <v>2</v>
      </c>
      <c r="J8" s="7" t="n">
        <v>2</v>
      </c>
      <c r="K8" s="7" t="n">
        <v>1</v>
      </c>
      <c r="L8" s="7" t="n">
        <v>3</v>
      </c>
      <c r="M8" s="9"/>
      <c r="N8" s="7" t="n">
        <v>5</v>
      </c>
      <c r="O8" s="7" t="n">
        <v>3</v>
      </c>
      <c r="P8" s="7" t="n">
        <v>3</v>
      </c>
      <c r="Q8" s="7" t="n">
        <v>4</v>
      </c>
      <c r="R8" s="7" t="n">
        <v>3</v>
      </c>
      <c r="S8" s="7" t="n">
        <v>3</v>
      </c>
      <c r="T8" s="7" t="n">
        <v>3</v>
      </c>
      <c r="U8" s="7" t="n">
        <v>4</v>
      </c>
      <c r="V8" s="7" t="n">
        <v>4</v>
      </c>
      <c r="W8" s="7" t="n">
        <v>3</v>
      </c>
      <c r="X8" s="7" t="n">
        <v>4</v>
      </c>
      <c r="Y8" s="7" t="n">
        <v>2</v>
      </c>
      <c r="Z8" s="7" t="n">
        <v>5</v>
      </c>
      <c r="AA8" s="7" t="n">
        <v>3</v>
      </c>
      <c r="AB8" s="7" t="n">
        <v>3</v>
      </c>
      <c r="AC8" s="7" t="n">
        <v>4</v>
      </c>
      <c r="AD8" s="7" t="n">
        <v>3</v>
      </c>
      <c r="AE8" s="7" t="n">
        <v>4</v>
      </c>
      <c r="AF8" s="7" t="n">
        <v>3</v>
      </c>
      <c r="AG8" s="7" t="n">
        <v>3</v>
      </c>
      <c r="AH8" s="7" t="n">
        <v>3</v>
      </c>
      <c r="AI8" s="7" t="n">
        <v>2</v>
      </c>
      <c r="AJ8" s="9"/>
      <c r="AK8" s="7" t="n">
        <v>2</v>
      </c>
      <c r="AL8" s="7" t="n">
        <v>2</v>
      </c>
      <c r="AM8" s="7" t="n">
        <v>1</v>
      </c>
      <c r="AN8" s="7" t="n">
        <v>3</v>
      </c>
      <c r="AO8" s="16" t="n">
        <f aca="false">MAX(E8:K8)</f>
        <v>5</v>
      </c>
      <c r="AP8" s="17" t="n">
        <f aca="false">AVERAGE(N8:R8)</f>
        <v>3.6</v>
      </c>
      <c r="AQ8" s="17" t="n">
        <f aca="false">AVERAGE(S8:V8)</f>
        <v>3.5</v>
      </c>
      <c r="AR8" s="17" t="n">
        <f aca="false">AVERAGE(W8,X8,Z8,AB8)</f>
        <v>3.75</v>
      </c>
      <c r="AS8" s="17" t="n">
        <f aca="false">AVERAGE(AC8:AF8)</f>
        <v>3.5</v>
      </c>
      <c r="AT8" s="17" t="n">
        <f aca="false">AVERAGE(Y8,AA8,AG8:AM8)</f>
        <v>2.25</v>
      </c>
      <c r="AU8" s="18" t="n">
        <f aca="false">(AO8+AP8+AQ8+AR8+AS8+(6-AT8))/6</f>
        <v>3.85</v>
      </c>
      <c r="AV8" s="7" t="s">
        <v>1033</v>
      </c>
      <c r="AW8" s="7" t="s">
        <v>1030</v>
      </c>
      <c r="AX8" s="7" t="n">
        <v>3</v>
      </c>
      <c r="AY8" s="8" t="s">
        <v>1034</v>
      </c>
    </row>
    <row r="9" customFormat="false" ht="22.35" hidden="false" customHeight="false" outlineLevel="0" collapsed="false">
      <c r="A9" s="7" t="n">
        <v>284</v>
      </c>
      <c r="B9" s="8" t="s">
        <v>913</v>
      </c>
      <c r="C9" s="8" t="s">
        <v>914</v>
      </c>
      <c r="D9" s="8" t="s">
        <v>915</v>
      </c>
      <c r="E9" s="7" t="n">
        <v>1</v>
      </c>
      <c r="F9" s="7" t="n">
        <v>1</v>
      </c>
      <c r="G9" s="7" t="n">
        <v>1</v>
      </c>
      <c r="H9" s="7" t="n">
        <v>1</v>
      </c>
      <c r="I9" s="7" t="n">
        <v>1</v>
      </c>
      <c r="J9" s="7" t="n">
        <v>1</v>
      </c>
      <c r="K9" s="7" t="n">
        <v>2</v>
      </c>
      <c r="L9" s="7" t="n">
        <v>3</v>
      </c>
      <c r="M9" s="9"/>
      <c r="N9" s="7" t="n">
        <v>3</v>
      </c>
      <c r="O9" s="7" t="n">
        <v>2</v>
      </c>
      <c r="P9" s="7" t="n">
        <v>3</v>
      </c>
      <c r="Q9" s="7" t="n">
        <v>3</v>
      </c>
      <c r="R9" s="7" t="n">
        <v>3</v>
      </c>
      <c r="S9" s="7" t="n">
        <v>2</v>
      </c>
      <c r="T9" s="7" t="n">
        <v>3</v>
      </c>
      <c r="U9" s="7" t="n">
        <v>3</v>
      </c>
      <c r="V9" s="7" t="n">
        <v>3</v>
      </c>
      <c r="W9" s="19" t="n">
        <v>3</v>
      </c>
      <c r="X9" s="7" t="n">
        <v>5</v>
      </c>
      <c r="Y9" s="7" t="n">
        <v>2</v>
      </c>
      <c r="Z9" s="7" t="n">
        <v>2</v>
      </c>
      <c r="AA9" s="7" t="n">
        <v>3</v>
      </c>
      <c r="AB9" s="7" t="n">
        <v>3</v>
      </c>
      <c r="AC9" s="7" t="n">
        <v>2</v>
      </c>
      <c r="AD9" s="7" t="n">
        <v>4</v>
      </c>
      <c r="AE9" s="7" t="n">
        <v>3</v>
      </c>
      <c r="AF9" s="7" t="n">
        <v>4</v>
      </c>
      <c r="AG9" s="7" t="n">
        <v>3</v>
      </c>
      <c r="AH9" s="7" t="n">
        <v>3</v>
      </c>
      <c r="AI9" s="7" t="n">
        <v>4</v>
      </c>
      <c r="AJ9" s="9"/>
      <c r="AK9" s="7" t="n">
        <v>2</v>
      </c>
      <c r="AL9" s="7" t="n">
        <v>3</v>
      </c>
      <c r="AM9" s="7" t="n">
        <v>1</v>
      </c>
      <c r="AN9" s="7" t="n">
        <v>1</v>
      </c>
      <c r="AO9" s="16" t="n">
        <f aca="false">MAX(E9:K9)</f>
        <v>2</v>
      </c>
      <c r="AP9" s="17" t="n">
        <f aca="false">AVERAGE(N9:R9)</f>
        <v>2.8</v>
      </c>
      <c r="AQ9" s="17" t="n">
        <f aca="false">AVERAGE(S9:V9)</f>
        <v>2.75</v>
      </c>
      <c r="AR9" s="17" t="n">
        <f aca="false">AVERAGE(W9,X9,Z9,AB9)</f>
        <v>3.25</v>
      </c>
      <c r="AS9" s="17" t="n">
        <f aca="false">AVERAGE(AC9:AF9)</f>
        <v>3.25</v>
      </c>
      <c r="AT9" s="17" t="n">
        <f aca="false">AVERAGE(Y9,AA9,AG9:AM9)</f>
        <v>2.625</v>
      </c>
      <c r="AU9" s="18" t="n">
        <f aca="false">(AO9+AP9+AQ9+AR9+AS9+(6-AT9))/6</f>
        <v>2.90416666666667</v>
      </c>
      <c r="AV9" s="7" t="s">
        <v>1029</v>
      </c>
      <c r="AW9" s="7" t="s">
        <v>1030</v>
      </c>
      <c r="AX9" s="20" t="s">
        <v>1035</v>
      </c>
      <c r="AY9" s="8"/>
    </row>
    <row r="10" customFormat="false" ht="15" hidden="false" customHeight="false" outlineLevel="0" collapsed="false">
      <c r="A10" s="7" t="n">
        <v>285</v>
      </c>
      <c r="B10" s="8" t="s">
        <v>318</v>
      </c>
      <c r="C10" s="8" t="s">
        <v>319</v>
      </c>
      <c r="D10" s="8" t="s">
        <v>304</v>
      </c>
      <c r="E10" s="7" t="n">
        <v>3</v>
      </c>
      <c r="F10" s="7" t="n">
        <v>1</v>
      </c>
      <c r="G10" s="7" t="n">
        <v>5</v>
      </c>
      <c r="H10" s="7" t="n">
        <v>1</v>
      </c>
      <c r="I10" s="7" t="n">
        <v>2</v>
      </c>
      <c r="J10" s="7" t="n">
        <v>4</v>
      </c>
      <c r="K10" s="7" t="n">
        <v>1</v>
      </c>
      <c r="L10" s="7" t="n">
        <v>5</v>
      </c>
      <c r="M10" s="9"/>
      <c r="N10" s="7" t="n">
        <v>4</v>
      </c>
      <c r="O10" s="7" t="n">
        <v>5</v>
      </c>
      <c r="P10" s="7" t="n">
        <v>3</v>
      </c>
      <c r="Q10" s="7" t="n">
        <v>5</v>
      </c>
      <c r="R10" s="7" t="n">
        <v>3</v>
      </c>
      <c r="S10" s="7" t="n">
        <v>5</v>
      </c>
      <c r="T10" s="7" t="n">
        <v>4</v>
      </c>
      <c r="U10" s="7" t="n">
        <v>5</v>
      </c>
      <c r="V10" s="7" t="n">
        <v>4</v>
      </c>
      <c r="W10" s="7" t="n">
        <v>3</v>
      </c>
      <c r="X10" s="7" t="n">
        <v>4</v>
      </c>
      <c r="Y10" s="7" t="n">
        <v>4</v>
      </c>
      <c r="Z10" s="7" t="n">
        <v>5</v>
      </c>
      <c r="AA10" s="7" t="n">
        <v>2</v>
      </c>
      <c r="AB10" s="7" t="n">
        <v>3</v>
      </c>
      <c r="AC10" s="7" t="n">
        <v>3</v>
      </c>
      <c r="AD10" s="7" t="n">
        <v>4</v>
      </c>
      <c r="AE10" s="7" t="n">
        <v>2</v>
      </c>
      <c r="AF10" s="7" t="n">
        <v>3</v>
      </c>
      <c r="AG10" s="7" t="n">
        <v>3</v>
      </c>
      <c r="AH10" s="7" t="n">
        <v>3</v>
      </c>
      <c r="AI10" s="7" t="n">
        <v>4</v>
      </c>
      <c r="AJ10" s="9"/>
      <c r="AK10" s="7" t="n">
        <v>3</v>
      </c>
      <c r="AL10" s="7" t="n">
        <v>2</v>
      </c>
      <c r="AM10" s="7" t="n">
        <v>4</v>
      </c>
      <c r="AN10" s="7" t="n">
        <v>5</v>
      </c>
      <c r="AO10" s="16" t="n">
        <f aca="false">MAX(E10:K10)</f>
        <v>5</v>
      </c>
      <c r="AP10" s="17" t="n">
        <f aca="false">AVERAGE(N10:R10)</f>
        <v>4</v>
      </c>
      <c r="AQ10" s="17" t="n">
        <f aca="false">AVERAGE(S10:V10)</f>
        <v>4.5</v>
      </c>
      <c r="AR10" s="17" t="n">
        <f aca="false">AVERAGE(W10,X10,Z10,AB10)</f>
        <v>3.75</v>
      </c>
      <c r="AS10" s="17" t="n">
        <f aca="false">AVERAGE(AC10:AF10)</f>
        <v>3</v>
      </c>
      <c r="AT10" s="17" t="n">
        <f aca="false">AVERAGE(Y10,AA10,AG10:AM10)</f>
        <v>3.125</v>
      </c>
      <c r="AU10" s="18" t="n">
        <f aca="false">(AO10+AP10+AQ10+AR10+AS10+(6-AT10))/6</f>
        <v>3.85416666666667</v>
      </c>
      <c r="AV10" s="7" t="s">
        <v>1029</v>
      </c>
      <c r="AW10" s="7" t="s">
        <v>1030</v>
      </c>
      <c r="AX10" s="7" t="n">
        <v>3</v>
      </c>
      <c r="AY10" s="8"/>
    </row>
    <row r="11" customFormat="false" ht="15" hidden="false" customHeight="false" outlineLevel="0" collapsed="false">
      <c r="A11" s="7" t="n">
        <v>288</v>
      </c>
      <c r="B11" s="8" t="s">
        <v>388</v>
      </c>
      <c r="C11" s="8" t="s">
        <v>389</v>
      </c>
      <c r="D11" s="8" t="s">
        <v>378</v>
      </c>
      <c r="E11" s="7" t="n">
        <v>1</v>
      </c>
      <c r="F11" s="7" t="n">
        <v>1</v>
      </c>
      <c r="G11" s="7" t="n">
        <v>1</v>
      </c>
      <c r="H11" s="7" t="n">
        <v>1</v>
      </c>
      <c r="I11" s="7" t="n">
        <v>2</v>
      </c>
      <c r="J11" s="7" t="n">
        <v>1</v>
      </c>
      <c r="K11" s="7" t="n">
        <v>1</v>
      </c>
      <c r="L11" s="7" t="n">
        <v>3</v>
      </c>
      <c r="M11" s="9"/>
      <c r="N11" s="7" t="n">
        <v>5</v>
      </c>
      <c r="O11" s="7" t="n">
        <v>3</v>
      </c>
      <c r="P11" s="7" t="n">
        <v>3</v>
      </c>
      <c r="Q11" s="7" t="n">
        <v>3</v>
      </c>
      <c r="R11" s="7" t="n">
        <v>4</v>
      </c>
      <c r="S11" s="7" t="n">
        <v>3</v>
      </c>
      <c r="T11" s="7" t="n">
        <v>3</v>
      </c>
      <c r="U11" s="7" t="n">
        <v>4</v>
      </c>
      <c r="V11" s="7" t="n">
        <v>3</v>
      </c>
      <c r="W11" s="7" t="n">
        <v>2</v>
      </c>
      <c r="X11" s="7" t="n">
        <v>4</v>
      </c>
      <c r="Y11" s="7" t="n">
        <v>3</v>
      </c>
      <c r="Z11" s="7" t="n">
        <v>1</v>
      </c>
      <c r="AA11" s="7" t="n">
        <v>5</v>
      </c>
      <c r="AB11" s="7" t="n">
        <v>3</v>
      </c>
      <c r="AC11" s="7" t="n">
        <v>3</v>
      </c>
      <c r="AD11" s="7" t="n">
        <v>5</v>
      </c>
      <c r="AE11" s="7" t="n">
        <v>4</v>
      </c>
      <c r="AF11" s="7" t="n">
        <v>3</v>
      </c>
      <c r="AG11" s="7" t="n">
        <v>5</v>
      </c>
      <c r="AH11" s="7" t="n">
        <v>5</v>
      </c>
      <c r="AI11" s="7" t="n">
        <v>3</v>
      </c>
      <c r="AJ11" s="9"/>
      <c r="AK11" s="7" t="n">
        <v>5</v>
      </c>
      <c r="AL11" s="7" t="n">
        <v>3</v>
      </c>
      <c r="AM11" s="7" t="n">
        <v>2</v>
      </c>
      <c r="AN11" s="7" t="n">
        <v>3</v>
      </c>
      <c r="AO11" s="16" t="n">
        <f aca="false">MAX(E11:K11)</f>
        <v>2</v>
      </c>
      <c r="AP11" s="17" t="n">
        <f aca="false">AVERAGE(N11:R11)</f>
        <v>3.6</v>
      </c>
      <c r="AQ11" s="17" t="n">
        <f aca="false">AVERAGE(S11:V11)</f>
        <v>3.25</v>
      </c>
      <c r="AR11" s="17" t="n">
        <f aca="false">AVERAGE(W11,X11,Z11,AB11)</f>
        <v>2.5</v>
      </c>
      <c r="AS11" s="17" t="n">
        <f aca="false">AVERAGE(AC11:AF11)</f>
        <v>3.75</v>
      </c>
      <c r="AT11" s="17" t="n">
        <f aca="false">AVERAGE(Y11,AA11,AG11:AM11)</f>
        <v>3.875</v>
      </c>
      <c r="AU11" s="18" t="n">
        <f aca="false">(AO11+AP11+AQ11+AR11+AS11+(6-AT11))/6</f>
        <v>2.87083333333333</v>
      </c>
      <c r="AV11" s="7" t="s">
        <v>1029</v>
      </c>
      <c r="AW11" s="7" t="s">
        <v>1030</v>
      </c>
      <c r="AX11" s="7" t="n">
        <v>2</v>
      </c>
      <c r="AY11" s="8"/>
    </row>
    <row r="12" customFormat="false" ht="15" hidden="false" customHeight="false" outlineLevel="0" collapsed="false">
      <c r="A12" s="7" t="n">
        <v>289</v>
      </c>
      <c r="B12" s="8" t="s">
        <v>586</v>
      </c>
      <c r="C12" s="8" t="s">
        <v>587</v>
      </c>
      <c r="D12" s="8" t="s">
        <v>588</v>
      </c>
      <c r="E12" s="7" t="n">
        <v>1</v>
      </c>
      <c r="F12" s="7" t="n">
        <v>1</v>
      </c>
      <c r="G12" s="7" t="n">
        <v>1</v>
      </c>
      <c r="H12" s="7" t="n">
        <v>2</v>
      </c>
      <c r="I12" s="7" t="n">
        <v>2</v>
      </c>
      <c r="J12" s="7" t="n">
        <v>1</v>
      </c>
      <c r="K12" s="7" t="n">
        <v>3</v>
      </c>
      <c r="L12" s="7" t="n">
        <v>3</v>
      </c>
      <c r="M12" s="9"/>
      <c r="N12" s="7" t="n">
        <v>4</v>
      </c>
      <c r="O12" s="7" t="n">
        <v>4</v>
      </c>
      <c r="P12" s="7" t="n">
        <v>3</v>
      </c>
      <c r="Q12" s="7" t="n">
        <v>4</v>
      </c>
      <c r="R12" s="7" t="n">
        <v>3</v>
      </c>
      <c r="S12" s="7" t="n">
        <v>3</v>
      </c>
      <c r="T12" s="7" t="n">
        <v>4</v>
      </c>
      <c r="U12" s="7" t="n">
        <v>3</v>
      </c>
      <c r="V12" s="7" t="n">
        <v>4</v>
      </c>
      <c r="W12" s="19" t="n">
        <v>3</v>
      </c>
      <c r="X12" s="7" t="n">
        <v>3</v>
      </c>
      <c r="Y12" s="7" t="n">
        <v>1</v>
      </c>
      <c r="Z12" s="7" t="n">
        <v>5</v>
      </c>
      <c r="AA12" s="7" t="n">
        <v>2</v>
      </c>
      <c r="AB12" s="7" t="n">
        <v>3</v>
      </c>
      <c r="AC12" s="7" t="n">
        <v>3</v>
      </c>
      <c r="AD12" s="7" t="n">
        <v>3</v>
      </c>
      <c r="AE12" s="7" t="n">
        <v>3</v>
      </c>
      <c r="AF12" s="7" t="n">
        <v>3</v>
      </c>
      <c r="AG12" s="7" t="n">
        <v>2</v>
      </c>
      <c r="AH12" s="7" t="n">
        <v>2</v>
      </c>
      <c r="AI12" s="7" t="n">
        <v>3</v>
      </c>
      <c r="AJ12" s="9"/>
      <c r="AK12" s="7" t="n">
        <v>1</v>
      </c>
      <c r="AL12" s="7" t="n">
        <v>3</v>
      </c>
      <c r="AM12" s="7" t="n">
        <v>1</v>
      </c>
      <c r="AN12" s="7" t="n">
        <v>3</v>
      </c>
      <c r="AO12" s="16" t="n">
        <f aca="false">MAX(E12:K12)</f>
        <v>3</v>
      </c>
      <c r="AP12" s="17" t="n">
        <f aca="false">AVERAGE(N12:R12)</f>
        <v>3.6</v>
      </c>
      <c r="AQ12" s="17" t="n">
        <f aca="false">AVERAGE(S12:V12)</f>
        <v>3.5</v>
      </c>
      <c r="AR12" s="17" t="n">
        <f aca="false">AVERAGE(W12,X12,Z12,AB12)</f>
        <v>3.5</v>
      </c>
      <c r="AS12" s="17" t="n">
        <f aca="false">AVERAGE(AC12:AF12)</f>
        <v>3</v>
      </c>
      <c r="AT12" s="17" t="n">
        <f aca="false">AVERAGE(Y12,AA12,AG12:AM12)</f>
        <v>1.875</v>
      </c>
      <c r="AU12" s="18" t="n">
        <f aca="false">(AO12+AP12+AQ12+AR12+AS12+(6-AT12))/6</f>
        <v>3.45416666666667</v>
      </c>
      <c r="AV12" s="7" t="s">
        <v>1029</v>
      </c>
      <c r="AW12" s="7" t="s">
        <v>1030</v>
      </c>
      <c r="AX12" s="20" t="s">
        <v>1035</v>
      </c>
      <c r="AY12" s="8"/>
    </row>
    <row r="13" customFormat="false" ht="15" hidden="false" customHeight="false" outlineLevel="0" collapsed="false">
      <c r="A13" s="7" t="n">
        <v>290</v>
      </c>
      <c r="B13" s="8" t="s">
        <v>586</v>
      </c>
      <c r="C13" s="8" t="s">
        <v>595</v>
      </c>
      <c r="D13" s="8" t="s">
        <v>588</v>
      </c>
      <c r="E13" s="7" t="n">
        <v>1</v>
      </c>
      <c r="F13" s="7" t="n">
        <v>1</v>
      </c>
      <c r="G13" s="7" t="n">
        <v>2</v>
      </c>
      <c r="H13" s="7" t="n">
        <v>1</v>
      </c>
      <c r="I13" s="7" t="n">
        <v>2</v>
      </c>
      <c r="J13" s="7" t="n">
        <v>1</v>
      </c>
      <c r="K13" s="7" t="n">
        <v>3</v>
      </c>
      <c r="L13" s="7" t="n">
        <v>3</v>
      </c>
      <c r="M13" s="9"/>
      <c r="N13" s="7" t="n">
        <v>4</v>
      </c>
      <c r="O13" s="7" t="n">
        <v>4</v>
      </c>
      <c r="P13" s="7" t="n">
        <v>3</v>
      </c>
      <c r="Q13" s="7" t="n">
        <v>5</v>
      </c>
      <c r="R13" s="7" t="n">
        <v>3</v>
      </c>
      <c r="S13" s="7" t="n">
        <v>3</v>
      </c>
      <c r="T13" s="7" t="n">
        <v>4</v>
      </c>
      <c r="U13" s="7" t="n">
        <v>3</v>
      </c>
      <c r="V13" s="7" t="n">
        <v>3</v>
      </c>
      <c r="W13" s="19" t="n">
        <v>3</v>
      </c>
      <c r="X13" s="7" t="n">
        <v>3</v>
      </c>
      <c r="Y13" s="7" t="n">
        <v>1</v>
      </c>
      <c r="Z13" s="7" t="n">
        <v>4</v>
      </c>
      <c r="AA13" s="7" t="n">
        <v>3</v>
      </c>
      <c r="AB13" s="7" t="n">
        <v>3</v>
      </c>
      <c r="AC13" s="7" t="n">
        <v>3</v>
      </c>
      <c r="AD13" s="7" t="n">
        <v>2</v>
      </c>
      <c r="AE13" s="7" t="n">
        <v>3</v>
      </c>
      <c r="AF13" s="7" t="n">
        <v>3</v>
      </c>
      <c r="AG13" s="7" t="n">
        <v>2</v>
      </c>
      <c r="AH13" s="7" t="n">
        <v>3</v>
      </c>
      <c r="AI13" s="7" t="n">
        <v>2</v>
      </c>
      <c r="AJ13" s="9"/>
      <c r="AK13" s="7" t="n">
        <v>2</v>
      </c>
      <c r="AL13" s="7" t="n">
        <v>2</v>
      </c>
      <c r="AM13" s="7" t="n">
        <v>1</v>
      </c>
      <c r="AN13" s="7" t="n">
        <v>3</v>
      </c>
      <c r="AO13" s="16" t="n">
        <f aca="false">MAX(E13:K13)</f>
        <v>3</v>
      </c>
      <c r="AP13" s="17" t="n">
        <f aca="false">AVERAGE(N13:R13)</f>
        <v>3.8</v>
      </c>
      <c r="AQ13" s="17" t="n">
        <f aca="false">AVERAGE(S13:V13)</f>
        <v>3.25</v>
      </c>
      <c r="AR13" s="17" t="n">
        <f aca="false">AVERAGE(W13,X13,Z13,AB13)</f>
        <v>3.25</v>
      </c>
      <c r="AS13" s="17" t="n">
        <f aca="false">AVERAGE(AC13:AF13)</f>
        <v>2.75</v>
      </c>
      <c r="AT13" s="17" t="n">
        <f aca="false">AVERAGE(Y13,AA13,AG13:AM13)</f>
        <v>2</v>
      </c>
      <c r="AU13" s="18" t="n">
        <f aca="false">(AO13+AP13+AQ13+AR13+AS13+(6-AT13))/6</f>
        <v>3.34166666666667</v>
      </c>
      <c r="AV13" s="7" t="s">
        <v>1033</v>
      </c>
      <c r="AW13" s="7" t="s">
        <v>1030</v>
      </c>
      <c r="AX13" s="20" t="s">
        <v>1035</v>
      </c>
      <c r="AY13" s="8"/>
    </row>
    <row r="14" customFormat="false" ht="22.35" hidden="false" customHeight="false" outlineLevel="0" collapsed="false">
      <c r="A14" s="7" t="n">
        <v>291</v>
      </c>
      <c r="B14" s="8" t="s">
        <v>407</v>
      </c>
      <c r="C14" s="8" t="s">
        <v>1036</v>
      </c>
      <c r="D14" s="8" t="s">
        <v>409</v>
      </c>
      <c r="E14" s="7" t="n">
        <v>1</v>
      </c>
      <c r="F14" s="7" t="n">
        <v>1</v>
      </c>
      <c r="G14" s="7" t="n">
        <v>1</v>
      </c>
      <c r="H14" s="7" t="n">
        <v>1</v>
      </c>
      <c r="I14" s="7" t="n">
        <v>1</v>
      </c>
      <c r="J14" s="7" t="n">
        <v>1</v>
      </c>
      <c r="K14" s="7" t="n">
        <v>2</v>
      </c>
      <c r="L14" s="7" t="n">
        <v>3</v>
      </c>
      <c r="M14" s="9"/>
      <c r="N14" s="7" t="n">
        <v>4</v>
      </c>
      <c r="O14" s="7" t="n">
        <v>2</v>
      </c>
      <c r="P14" s="7" t="n">
        <v>3</v>
      </c>
      <c r="Q14" s="7" t="n">
        <v>2</v>
      </c>
      <c r="R14" s="7" t="n">
        <v>2</v>
      </c>
      <c r="S14" s="7" t="n">
        <v>3</v>
      </c>
      <c r="T14" s="7" t="n">
        <v>2</v>
      </c>
      <c r="U14" s="7" t="n">
        <v>2</v>
      </c>
      <c r="V14" s="7" t="n">
        <v>3</v>
      </c>
      <c r="W14" s="19" t="n">
        <v>3</v>
      </c>
      <c r="X14" s="7" t="n">
        <v>3</v>
      </c>
      <c r="Y14" s="7" t="n">
        <v>2</v>
      </c>
      <c r="Z14" s="7" t="n">
        <v>4</v>
      </c>
      <c r="AA14" s="7" t="n">
        <v>4</v>
      </c>
      <c r="AB14" s="7" t="n">
        <v>3</v>
      </c>
      <c r="AC14" s="7" t="n">
        <v>2</v>
      </c>
      <c r="AD14" s="7" t="n">
        <v>2</v>
      </c>
      <c r="AE14" s="7" t="n">
        <v>3</v>
      </c>
      <c r="AF14" s="7" t="n">
        <v>3</v>
      </c>
      <c r="AG14" s="7" t="n">
        <v>3</v>
      </c>
      <c r="AH14" s="7" t="n">
        <v>2</v>
      </c>
      <c r="AI14" s="7" t="n">
        <v>3</v>
      </c>
      <c r="AJ14" s="9"/>
      <c r="AK14" s="7" t="n">
        <v>2</v>
      </c>
      <c r="AL14" s="7" t="n">
        <v>3</v>
      </c>
      <c r="AM14" s="7" t="n">
        <v>2</v>
      </c>
      <c r="AN14" s="7" t="n">
        <v>2</v>
      </c>
      <c r="AO14" s="16" t="n">
        <f aca="false">MAX(E14:K14)</f>
        <v>2</v>
      </c>
      <c r="AP14" s="17" t="n">
        <f aca="false">AVERAGE(N14:R14)</f>
        <v>2.6</v>
      </c>
      <c r="AQ14" s="17" t="n">
        <f aca="false">AVERAGE(S14:V14)</f>
        <v>2.5</v>
      </c>
      <c r="AR14" s="17" t="n">
        <f aca="false">AVERAGE(W14,X14,Z14,AB14)</f>
        <v>3.25</v>
      </c>
      <c r="AS14" s="17" t="n">
        <f aca="false">AVERAGE(AC14:AF14)</f>
        <v>2.5</v>
      </c>
      <c r="AT14" s="17" t="n">
        <f aca="false">AVERAGE(Y14,AA14,AG14:AM14)</f>
        <v>2.625</v>
      </c>
      <c r="AU14" s="18" t="n">
        <f aca="false">(AO14+AP14+AQ14+AR14+AS14+(6-AT14))/6</f>
        <v>2.70416666666667</v>
      </c>
      <c r="AV14" s="7" t="s">
        <v>1033</v>
      </c>
      <c r="AW14" s="7" t="s">
        <v>1030</v>
      </c>
      <c r="AX14" s="20" t="s">
        <v>1035</v>
      </c>
      <c r="AY14" s="8"/>
    </row>
    <row r="15" customFormat="false" ht="15" hidden="false" customHeight="false" outlineLevel="0" collapsed="false">
      <c r="A15" s="7" t="n">
        <v>292</v>
      </c>
      <c r="B15" s="8" t="s">
        <v>331</v>
      </c>
      <c r="C15" s="8" t="s">
        <v>332</v>
      </c>
      <c r="D15" s="8" t="s">
        <v>304</v>
      </c>
      <c r="E15" s="7" t="n">
        <v>2</v>
      </c>
      <c r="F15" s="7" t="n">
        <v>1</v>
      </c>
      <c r="G15" s="7" t="n">
        <v>1</v>
      </c>
      <c r="H15" s="7" t="n">
        <v>2</v>
      </c>
      <c r="I15" s="7" t="n">
        <v>2</v>
      </c>
      <c r="J15" s="7" t="n">
        <v>2</v>
      </c>
      <c r="K15" s="7" t="n">
        <v>1</v>
      </c>
      <c r="L15" s="7" t="n">
        <v>4</v>
      </c>
      <c r="M15" s="9"/>
      <c r="N15" s="7" t="n">
        <v>4</v>
      </c>
      <c r="O15" s="7" t="n">
        <v>3</v>
      </c>
      <c r="P15" s="7" t="n">
        <v>2</v>
      </c>
      <c r="Q15" s="7" t="n">
        <v>4</v>
      </c>
      <c r="R15" s="7" t="n">
        <v>4</v>
      </c>
      <c r="S15" s="7" t="n">
        <v>2</v>
      </c>
      <c r="T15" s="7" t="n">
        <v>3</v>
      </c>
      <c r="U15" s="7" t="n">
        <v>4</v>
      </c>
      <c r="V15" s="7" t="n">
        <v>4</v>
      </c>
      <c r="W15" s="19" t="n">
        <v>3</v>
      </c>
      <c r="X15" s="7" t="n">
        <v>4</v>
      </c>
      <c r="Y15" s="7" t="n">
        <v>1</v>
      </c>
      <c r="Z15" s="7" t="n">
        <v>3</v>
      </c>
      <c r="AA15" s="7" t="n">
        <v>3</v>
      </c>
      <c r="AB15" s="7" t="n">
        <v>3</v>
      </c>
      <c r="AC15" s="7" t="n">
        <v>2</v>
      </c>
      <c r="AD15" s="7" t="n">
        <v>5</v>
      </c>
      <c r="AE15" s="7" t="n">
        <v>5</v>
      </c>
      <c r="AF15" s="7" t="n">
        <v>3</v>
      </c>
      <c r="AG15" s="7" t="n">
        <v>3</v>
      </c>
      <c r="AH15" s="7" t="n">
        <v>4</v>
      </c>
      <c r="AI15" s="7" t="n">
        <v>1</v>
      </c>
      <c r="AJ15" s="9"/>
      <c r="AK15" s="7" t="n">
        <v>4</v>
      </c>
      <c r="AL15" s="7" t="n">
        <v>2</v>
      </c>
      <c r="AM15" s="7" t="n">
        <v>1</v>
      </c>
      <c r="AN15" s="7" t="n">
        <v>4</v>
      </c>
      <c r="AO15" s="16" t="n">
        <f aca="false">MAX(E15:K15)</f>
        <v>2</v>
      </c>
      <c r="AP15" s="17" t="n">
        <f aca="false">AVERAGE(N15:R15)</f>
        <v>3.4</v>
      </c>
      <c r="AQ15" s="17" t="n">
        <f aca="false">AVERAGE(S15:V15)</f>
        <v>3.25</v>
      </c>
      <c r="AR15" s="17" t="n">
        <f aca="false">AVERAGE(W15,X15,Z15,AB15)</f>
        <v>3.25</v>
      </c>
      <c r="AS15" s="17" t="n">
        <f aca="false">AVERAGE(AC15:AF15)</f>
        <v>3.75</v>
      </c>
      <c r="AT15" s="17" t="n">
        <f aca="false">AVERAGE(Y15,AA15,AG15:AM15)</f>
        <v>2.375</v>
      </c>
      <c r="AU15" s="18" t="n">
        <f aca="false">(AO15+AP15+AQ15+AR15+AS15+(6-AT15))/6</f>
        <v>3.2125</v>
      </c>
      <c r="AV15" s="7" t="s">
        <v>1029</v>
      </c>
      <c r="AW15" s="7" t="s">
        <v>1030</v>
      </c>
      <c r="AX15" s="20" t="s">
        <v>1035</v>
      </c>
      <c r="AY15" s="8"/>
    </row>
    <row r="16" customFormat="false" ht="22.35" hidden="false" customHeight="false" outlineLevel="0" collapsed="false">
      <c r="A16" s="7" t="n">
        <v>293</v>
      </c>
      <c r="B16" s="8" t="s">
        <v>601</v>
      </c>
      <c r="C16" s="8" t="s">
        <v>602</v>
      </c>
      <c r="D16" s="8" t="s">
        <v>588</v>
      </c>
      <c r="E16" s="7" t="n">
        <v>1</v>
      </c>
      <c r="F16" s="7" t="n">
        <v>1</v>
      </c>
      <c r="G16" s="7" t="n">
        <v>1</v>
      </c>
      <c r="H16" s="7" t="n">
        <v>2</v>
      </c>
      <c r="I16" s="7" t="n">
        <v>2</v>
      </c>
      <c r="J16" s="7" t="n">
        <v>1</v>
      </c>
      <c r="K16" s="7" t="n">
        <v>3</v>
      </c>
      <c r="L16" s="7" t="n">
        <v>4</v>
      </c>
      <c r="M16" s="9"/>
      <c r="N16" s="7" t="n">
        <v>2</v>
      </c>
      <c r="O16" s="7" t="n">
        <v>3</v>
      </c>
      <c r="P16" s="7" t="n">
        <v>3</v>
      </c>
      <c r="Q16" s="7" t="n">
        <v>4</v>
      </c>
      <c r="R16" s="7" t="n">
        <v>4</v>
      </c>
      <c r="S16" s="7" t="n">
        <v>2</v>
      </c>
      <c r="T16" s="7" t="n">
        <v>2</v>
      </c>
      <c r="U16" s="7" t="n">
        <v>3</v>
      </c>
      <c r="V16" s="7" t="n">
        <v>4</v>
      </c>
      <c r="W16" s="19" t="n">
        <v>3</v>
      </c>
      <c r="X16" s="7" t="n">
        <v>5</v>
      </c>
      <c r="Y16" s="7" t="n">
        <v>3</v>
      </c>
      <c r="Z16" s="7" t="n">
        <v>3</v>
      </c>
      <c r="AA16" s="7" t="n">
        <v>4</v>
      </c>
      <c r="AB16" s="7" t="n">
        <v>3</v>
      </c>
      <c r="AC16" s="7" t="n">
        <v>4</v>
      </c>
      <c r="AD16" s="7" t="n">
        <v>5</v>
      </c>
      <c r="AE16" s="7" t="n">
        <v>4</v>
      </c>
      <c r="AF16" s="7" t="n">
        <v>5</v>
      </c>
      <c r="AG16" s="7" t="n">
        <v>4</v>
      </c>
      <c r="AH16" s="7" t="n">
        <v>4</v>
      </c>
      <c r="AI16" s="7" t="n">
        <v>4</v>
      </c>
      <c r="AJ16" s="9"/>
      <c r="AK16" s="7" t="n">
        <v>3</v>
      </c>
      <c r="AL16" s="7" t="n">
        <v>2</v>
      </c>
      <c r="AM16" s="7" t="n">
        <v>3</v>
      </c>
      <c r="AN16" s="7" t="n">
        <v>2</v>
      </c>
      <c r="AO16" s="16" t="n">
        <f aca="false">MAX(E16:K16)</f>
        <v>3</v>
      </c>
      <c r="AP16" s="17" t="n">
        <f aca="false">AVERAGE(N16:R16)</f>
        <v>3.2</v>
      </c>
      <c r="AQ16" s="17" t="n">
        <f aca="false">AVERAGE(S16:V16)</f>
        <v>2.75</v>
      </c>
      <c r="AR16" s="17" t="n">
        <f aca="false">AVERAGE(W16,X16,Z16,AB16)</f>
        <v>3.5</v>
      </c>
      <c r="AS16" s="17" t="n">
        <f aca="false">AVERAGE(AC16:AF16)</f>
        <v>4.5</v>
      </c>
      <c r="AT16" s="17" t="n">
        <f aca="false">AVERAGE(Y16,AA16,AG16:AM16)</f>
        <v>3.375</v>
      </c>
      <c r="AU16" s="18" t="n">
        <f aca="false">(AO16+AP16+AQ16+AR16+AS16+(6-AT16))/6</f>
        <v>3.2625</v>
      </c>
      <c r="AV16" s="7" t="s">
        <v>1029</v>
      </c>
      <c r="AW16" s="7" t="s">
        <v>1030</v>
      </c>
      <c r="AX16" s="20" t="s">
        <v>1035</v>
      </c>
      <c r="AY16" s="8"/>
    </row>
    <row r="17" customFormat="false" ht="22.35" hidden="false" customHeight="false" outlineLevel="0" collapsed="false">
      <c r="A17" s="7" t="n">
        <v>294</v>
      </c>
      <c r="B17" s="8" t="s">
        <v>913</v>
      </c>
      <c r="C17" s="8" t="s">
        <v>924</v>
      </c>
      <c r="D17" s="8" t="s">
        <v>915</v>
      </c>
      <c r="E17" s="7" t="n">
        <v>1</v>
      </c>
      <c r="F17" s="7" t="n">
        <v>1</v>
      </c>
      <c r="G17" s="7" t="n">
        <v>1</v>
      </c>
      <c r="H17" s="7" t="n">
        <v>1</v>
      </c>
      <c r="I17" s="7" t="n">
        <v>1</v>
      </c>
      <c r="J17" s="7" t="n">
        <v>1</v>
      </c>
      <c r="K17" s="7" t="n">
        <v>2</v>
      </c>
      <c r="L17" s="7" t="n">
        <v>3</v>
      </c>
      <c r="M17" s="9"/>
      <c r="N17" s="7" t="n">
        <v>3</v>
      </c>
      <c r="O17" s="7" t="n">
        <v>2</v>
      </c>
      <c r="P17" s="7" t="n">
        <v>3</v>
      </c>
      <c r="Q17" s="7" t="n">
        <v>3</v>
      </c>
      <c r="R17" s="7" t="n">
        <v>3</v>
      </c>
      <c r="S17" s="7" t="n">
        <v>2</v>
      </c>
      <c r="T17" s="7" t="n">
        <v>3</v>
      </c>
      <c r="U17" s="7" t="n">
        <v>3</v>
      </c>
      <c r="V17" s="7" t="n">
        <v>3</v>
      </c>
      <c r="W17" s="19" t="n">
        <v>3</v>
      </c>
      <c r="X17" s="7" t="n">
        <v>3</v>
      </c>
      <c r="Y17" s="7" t="n">
        <v>2</v>
      </c>
      <c r="Z17" s="7" t="n">
        <v>3</v>
      </c>
      <c r="AA17" s="7" t="n">
        <v>3</v>
      </c>
      <c r="AB17" s="7" t="n">
        <v>3</v>
      </c>
      <c r="AC17" s="7" t="n">
        <v>2</v>
      </c>
      <c r="AD17" s="7" t="n">
        <v>3</v>
      </c>
      <c r="AE17" s="7" t="n">
        <v>3</v>
      </c>
      <c r="AF17" s="7" t="n">
        <v>4</v>
      </c>
      <c r="AG17" s="7" t="n">
        <v>3</v>
      </c>
      <c r="AH17" s="7" t="n">
        <v>3</v>
      </c>
      <c r="AI17" s="7" t="n">
        <v>4</v>
      </c>
      <c r="AJ17" s="9"/>
      <c r="AK17" s="7" t="n">
        <v>2</v>
      </c>
      <c r="AL17" s="7" t="n">
        <v>3</v>
      </c>
      <c r="AM17" s="7" t="n">
        <v>1</v>
      </c>
      <c r="AN17" s="7" t="n">
        <v>1</v>
      </c>
      <c r="AO17" s="16" t="n">
        <f aca="false">MAX(E17:K17)</f>
        <v>2</v>
      </c>
      <c r="AP17" s="17" t="n">
        <f aca="false">AVERAGE(N17:R17)</f>
        <v>2.8</v>
      </c>
      <c r="AQ17" s="17" t="n">
        <f aca="false">AVERAGE(S17:V17)</f>
        <v>2.75</v>
      </c>
      <c r="AR17" s="17" t="n">
        <f aca="false">AVERAGE(W17,X17,Z17,AB17)</f>
        <v>3</v>
      </c>
      <c r="AS17" s="17" t="n">
        <f aca="false">AVERAGE(AC17:AF17)</f>
        <v>3</v>
      </c>
      <c r="AT17" s="17" t="n">
        <f aca="false">AVERAGE(Y17,AA17,AG17:AM17)</f>
        <v>2.625</v>
      </c>
      <c r="AU17" s="18" t="n">
        <f aca="false">(AO17+AP17+AQ17+AR17+AS17+(6-AT17))/6</f>
        <v>2.82083333333333</v>
      </c>
      <c r="AV17" s="7" t="s">
        <v>1029</v>
      </c>
      <c r="AW17" s="7" t="s">
        <v>1030</v>
      </c>
      <c r="AX17" s="20" t="s">
        <v>1035</v>
      </c>
      <c r="AY17" s="8"/>
    </row>
    <row r="18" customFormat="false" ht="22.35" hidden="false" customHeight="false" outlineLevel="0" collapsed="false">
      <c r="A18" s="7" t="n">
        <v>295</v>
      </c>
      <c r="B18" s="8" t="s">
        <v>601</v>
      </c>
      <c r="C18" s="8" t="s">
        <v>610</v>
      </c>
      <c r="D18" s="8" t="s">
        <v>588</v>
      </c>
      <c r="E18" s="7" t="n">
        <v>1</v>
      </c>
      <c r="F18" s="7" t="n">
        <v>1</v>
      </c>
      <c r="G18" s="7" t="n">
        <v>1</v>
      </c>
      <c r="H18" s="7" t="n">
        <v>3</v>
      </c>
      <c r="I18" s="7" t="n">
        <v>2</v>
      </c>
      <c r="J18" s="7" t="n">
        <v>1</v>
      </c>
      <c r="K18" s="7" t="n">
        <v>2</v>
      </c>
      <c r="L18" s="7" t="n">
        <v>4</v>
      </c>
      <c r="M18" s="9"/>
      <c r="N18" s="7" t="n">
        <v>2</v>
      </c>
      <c r="O18" s="7" t="n">
        <v>3</v>
      </c>
      <c r="P18" s="7" t="n">
        <v>3</v>
      </c>
      <c r="Q18" s="7" t="n">
        <v>4</v>
      </c>
      <c r="R18" s="7" t="n">
        <v>3</v>
      </c>
      <c r="S18" s="7" t="n">
        <v>2</v>
      </c>
      <c r="T18" s="7" t="n">
        <v>2</v>
      </c>
      <c r="U18" s="7" t="n">
        <v>3</v>
      </c>
      <c r="V18" s="7" t="n">
        <v>5</v>
      </c>
      <c r="W18" s="19" t="n">
        <v>3</v>
      </c>
      <c r="X18" s="7" t="n">
        <v>5</v>
      </c>
      <c r="Y18" s="7" t="n">
        <v>3</v>
      </c>
      <c r="Z18" s="7" t="n">
        <v>3</v>
      </c>
      <c r="AA18" s="7" t="n">
        <v>3</v>
      </c>
      <c r="AB18" s="7" t="n">
        <v>3</v>
      </c>
      <c r="AC18" s="7" t="n">
        <v>4</v>
      </c>
      <c r="AD18" s="7" t="n">
        <v>4</v>
      </c>
      <c r="AE18" s="7" t="n">
        <v>4</v>
      </c>
      <c r="AF18" s="7" t="n">
        <v>3</v>
      </c>
      <c r="AG18" s="7" t="n">
        <v>4</v>
      </c>
      <c r="AH18" s="7" t="n">
        <v>4</v>
      </c>
      <c r="AI18" s="7" t="n">
        <v>4</v>
      </c>
      <c r="AJ18" s="9"/>
      <c r="AK18" s="7" t="n">
        <v>3</v>
      </c>
      <c r="AL18" s="7" t="n">
        <v>2</v>
      </c>
      <c r="AM18" s="7" t="n">
        <v>3</v>
      </c>
      <c r="AN18" s="7" t="n">
        <v>3</v>
      </c>
      <c r="AO18" s="16" t="n">
        <f aca="false">MAX(E18:K18)</f>
        <v>3</v>
      </c>
      <c r="AP18" s="17" t="n">
        <f aca="false">AVERAGE(N18:R18)</f>
        <v>3</v>
      </c>
      <c r="AQ18" s="17" t="n">
        <f aca="false">AVERAGE(S18:V18)</f>
        <v>3</v>
      </c>
      <c r="AR18" s="17" t="n">
        <f aca="false">AVERAGE(W18,X18,Z18,AB18)</f>
        <v>3.5</v>
      </c>
      <c r="AS18" s="17" t="n">
        <f aca="false">AVERAGE(AC18:AF18)</f>
        <v>3.75</v>
      </c>
      <c r="AT18" s="17" t="n">
        <f aca="false">AVERAGE(Y18,AA18,AG18:AM18)</f>
        <v>3.25</v>
      </c>
      <c r="AU18" s="18" t="n">
        <f aca="false">(AO18+AP18+AQ18+AR18+AS18+(6-AT18))/6</f>
        <v>3.16666666666667</v>
      </c>
      <c r="AV18" s="7" t="s">
        <v>1029</v>
      </c>
      <c r="AW18" s="7" t="s">
        <v>1030</v>
      </c>
      <c r="AX18" s="20" t="s">
        <v>1035</v>
      </c>
      <c r="AY18" s="8"/>
    </row>
    <row r="19" customFormat="false" ht="15" hidden="false" customHeight="false" outlineLevel="0" collapsed="false">
      <c r="A19" s="7" t="n">
        <v>296</v>
      </c>
      <c r="B19" s="8" t="s">
        <v>499</v>
      </c>
      <c r="C19" s="8" t="s">
        <v>500</v>
      </c>
      <c r="D19" s="8" t="s">
        <v>491</v>
      </c>
      <c r="E19" s="7" t="n">
        <v>1</v>
      </c>
      <c r="F19" s="7" t="n">
        <v>1</v>
      </c>
      <c r="G19" s="7" t="n">
        <v>1</v>
      </c>
      <c r="H19" s="7" t="n">
        <v>3</v>
      </c>
      <c r="I19" s="7" t="n">
        <v>2</v>
      </c>
      <c r="J19" s="7" t="n">
        <v>1</v>
      </c>
      <c r="K19" s="7" t="n">
        <v>1</v>
      </c>
      <c r="L19" s="7" t="n">
        <v>3</v>
      </c>
      <c r="M19" s="9"/>
      <c r="N19" s="7" t="n">
        <v>4</v>
      </c>
      <c r="O19" s="7" t="n">
        <v>3</v>
      </c>
      <c r="P19" s="7" t="n">
        <v>3</v>
      </c>
      <c r="Q19" s="7" t="n">
        <v>2</v>
      </c>
      <c r="R19" s="7" t="n">
        <v>2</v>
      </c>
      <c r="S19" s="7" t="n">
        <v>4</v>
      </c>
      <c r="T19" s="7" t="n">
        <v>3</v>
      </c>
      <c r="U19" s="7" t="n">
        <v>5</v>
      </c>
      <c r="V19" s="7" t="n">
        <v>3</v>
      </c>
      <c r="W19" s="7" t="n">
        <v>2</v>
      </c>
      <c r="X19" s="7" t="n">
        <v>1</v>
      </c>
      <c r="Y19" s="7" t="n">
        <v>5</v>
      </c>
      <c r="Z19" s="7" t="n">
        <v>3</v>
      </c>
      <c r="AA19" s="7" t="n">
        <v>4</v>
      </c>
      <c r="AB19" s="7" t="n">
        <v>3</v>
      </c>
      <c r="AC19" s="7" t="n">
        <v>3</v>
      </c>
      <c r="AD19" s="7" t="n">
        <v>3</v>
      </c>
      <c r="AE19" s="7" t="n">
        <v>2</v>
      </c>
      <c r="AF19" s="7" t="n">
        <v>4</v>
      </c>
      <c r="AG19" s="7" t="n">
        <v>4</v>
      </c>
      <c r="AH19" s="7" t="n">
        <v>4</v>
      </c>
      <c r="AI19" s="7" t="n">
        <v>4</v>
      </c>
      <c r="AJ19" s="9"/>
      <c r="AK19" s="7" t="n">
        <v>4</v>
      </c>
      <c r="AL19" s="7" t="n">
        <v>3</v>
      </c>
      <c r="AM19" s="7" t="n">
        <v>4</v>
      </c>
      <c r="AN19" s="7" t="n">
        <v>2</v>
      </c>
      <c r="AO19" s="16" t="n">
        <f aca="false">MAX(E19:K19)</f>
        <v>3</v>
      </c>
      <c r="AP19" s="17" t="n">
        <f aca="false">AVERAGE(N19:R19)</f>
        <v>2.8</v>
      </c>
      <c r="AQ19" s="17" t="n">
        <f aca="false">AVERAGE(S19:V19)</f>
        <v>3.75</v>
      </c>
      <c r="AR19" s="17" t="n">
        <f aca="false">AVERAGE(W19,X19,Z19,AB19)</f>
        <v>2.25</v>
      </c>
      <c r="AS19" s="17" t="n">
        <f aca="false">AVERAGE(AC19:AF19)</f>
        <v>3</v>
      </c>
      <c r="AT19" s="17" t="n">
        <f aca="false">AVERAGE(Y19,AA19,AG19:AM19)</f>
        <v>4</v>
      </c>
      <c r="AU19" s="18" t="n">
        <f aca="false">(AO19+AP19+AQ19+AR19+AS19+(6-AT19))/6</f>
        <v>2.8</v>
      </c>
      <c r="AV19" s="7" t="s">
        <v>1033</v>
      </c>
      <c r="AW19" s="7" t="s">
        <v>1030</v>
      </c>
      <c r="AX19" s="7" t="n">
        <v>2</v>
      </c>
      <c r="AY19" s="8" t="s">
        <v>1037</v>
      </c>
    </row>
    <row r="20" customFormat="false" ht="22.35" hidden="false" customHeight="false" outlineLevel="0" collapsed="false">
      <c r="A20" s="7" t="n">
        <v>297</v>
      </c>
      <c r="B20" s="8" t="s">
        <v>812</v>
      </c>
      <c r="C20" s="8" t="s">
        <v>813</v>
      </c>
      <c r="D20" s="8" t="s">
        <v>814</v>
      </c>
      <c r="E20" s="7" t="n">
        <v>2</v>
      </c>
      <c r="F20" s="7" t="n">
        <v>4</v>
      </c>
      <c r="G20" s="7" t="n">
        <v>1</v>
      </c>
      <c r="H20" s="7" t="n">
        <v>2</v>
      </c>
      <c r="I20" s="7" t="n">
        <v>3</v>
      </c>
      <c r="J20" s="7" t="n">
        <v>1</v>
      </c>
      <c r="K20" s="7" t="n">
        <v>1</v>
      </c>
      <c r="L20" s="7" t="n">
        <v>4</v>
      </c>
      <c r="M20" s="9"/>
      <c r="N20" s="7" t="n">
        <v>5</v>
      </c>
      <c r="O20" s="7" t="n">
        <v>2</v>
      </c>
      <c r="P20" s="7" t="n">
        <v>3</v>
      </c>
      <c r="Q20" s="7" t="n">
        <v>3</v>
      </c>
      <c r="R20" s="7" t="n">
        <v>3</v>
      </c>
      <c r="S20" s="7" t="n">
        <v>3</v>
      </c>
      <c r="T20" s="7" t="n">
        <v>2</v>
      </c>
      <c r="U20" s="7" t="n">
        <v>5</v>
      </c>
      <c r="V20" s="7" t="n">
        <v>4</v>
      </c>
      <c r="W20" s="19" t="n">
        <v>3</v>
      </c>
      <c r="X20" s="7" t="n">
        <v>3</v>
      </c>
      <c r="Y20" s="7" t="n">
        <v>3</v>
      </c>
      <c r="Z20" s="7" t="n">
        <v>3</v>
      </c>
      <c r="AA20" s="7" t="n">
        <v>3</v>
      </c>
      <c r="AB20" s="7" t="n">
        <v>3</v>
      </c>
      <c r="AC20" s="7" t="n">
        <v>4</v>
      </c>
      <c r="AD20" s="7" t="n">
        <v>4</v>
      </c>
      <c r="AE20" s="7" t="n">
        <v>3</v>
      </c>
      <c r="AF20" s="7" t="n">
        <v>4</v>
      </c>
      <c r="AG20" s="7" t="n">
        <v>3</v>
      </c>
      <c r="AH20" s="7" t="n">
        <v>3</v>
      </c>
      <c r="AI20" s="7" t="n">
        <v>3</v>
      </c>
      <c r="AJ20" s="9"/>
      <c r="AK20" s="7" t="n">
        <v>3</v>
      </c>
      <c r="AL20" s="7" t="n">
        <v>2</v>
      </c>
      <c r="AM20" s="7" t="n">
        <v>3</v>
      </c>
      <c r="AN20" s="7" t="n">
        <v>2</v>
      </c>
      <c r="AO20" s="16" t="n">
        <f aca="false">MAX(E20:K20)</f>
        <v>4</v>
      </c>
      <c r="AP20" s="17" t="n">
        <f aca="false">AVERAGE(N20:R20)</f>
        <v>3.2</v>
      </c>
      <c r="AQ20" s="17" t="n">
        <f aca="false">AVERAGE(S20:V20)</f>
        <v>3.5</v>
      </c>
      <c r="AR20" s="17" t="n">
        <f aca="false">AVERAGE(W20,X20,Z20,AB20)</f>
        <v>3</v>
      </c>
      <c r="AS20" s="17" t="n">
        <f aca="false">AVERAGE(AC20:AF20)</f>
        <v>3.75</v>
      </c>
      <c r="AT20" s="17" t="n">
        <f aca="false">AVERAGE(Y20,AA20,AG20:AM20)</f>
        <v>2.875</v>
      </c>
      <c r="AU20" s="18" t="n">
        <f aca="false">(AO20+AP20+AQ20+AR20+AS20+(6-AT20))/6</f>
        <v>3.42916666666667</v>
      </c>
      <c r="AV20" s="7" t="s">
        <v>1033</v>
      </c>
      <c r="AW20" s="7" t="s">
        <v>1030</v>
      </c>
      <c r="AX20" s="20" t="s">
        <v>1035</v>
      </c>
      <c r="AY20" s="8"/>
    </row>
    <row r="21" customFormat="false" ht="22.35" hidden="false" customHeight="false" outlineLevel="0" collapsed="false">
      <c r="A21" s="7" t="n">
        <v>298</v>
      </c>
      <c r="B21" s="8" t="s">
        <v>812</v>
      </c>
      <c r="C21" s="8" t="s">
        <v>822</v>
      </c>
      <c r="D21" s="8" t="s">
        <v>814</v>
      </c>
      <c r="E21" s="7" t="n">
        <v>1</v>
      </c>
      <c r="F21" s="7" t="n">
        <v>1</v>
      </c>
      <c r="G21" s="7" t="n">
        <v>1</v>
      </c>
      <c r="H21" s="7" t="n">
        <v>1</v>
      </c>
      <c r="I21" s="7" t="n">
        <v>2</v>
      </c>
      <c r="J21" s="7" t="n">
        <v>1</v>
      </c>
      <c r="K21" s="7" t="n">
        <v>1</v>
      </c>
      <c r="L21" s="7" t="n">
        <v>3</v>
      </c>
      <c r="M21" s="9"/>
      <c r="N21" s="7" t="n">
        <v>5</v>
      </c>
      <c r="O21" s="7" t="n">
        <v>2</v>
      </c>
      <c r="P21" s="7" t="n">
        <v>3</v>
      </c>
      <c r="Q21" s="7" t="n">
        <v>3</v>
      </c>
      <c r="R21" s="7" t="n">
        <v>2</v>
      </c>
      <c r="S21" s="7" t="n">
        <v>3</v>
      </c>
      <c r="T21" s="7" t="n">
        <v>2</v>
      </c>
      <c r="U21" s="7" t="n">
        <v>5</v>
      </c>
      <c r="V21" s="7" t="n">
        <v>3</v>
      </c>
      <c r="W21" s="19" t="n">
        <v>3</v>
      </c>
      <c r="X21" s="7" t="n">
        <v>3</v>
      </c>
      <c r="Y21" s="7" t="n">
        <v>3</v>
      </c>
      <c r="Z21" s="7" t="n">
        <v>4</v>
      </c>
      <c r="AA21" s="7" t="n">
        <v>3</v>
      </c>
      <c r="AB21" s="7" t="n">
        <v>3</v>
      </c>
      <c r="AC21" s="7" t="n">
        <v>2</v>
      </c>
      <c r="AD21" s="7" t="n">
        <v>2</v>
      </c>
      <c r="AE21" s="7" t="n">
        <v>2</v>
      </c>
      <c r="AF21" s="7" t="n">
        <v>2</v>
      </c>
      <c r="AG21" s="7" t="n">
        <v>3</v>
      </c>
      <c r="AH21" s="7" t="n">
        <v>2</v>
      </c>
      <c r="AI21" s="7" t="n">
        <v>2</v>
      </c>
      <c r="AJ21" s="9"/>
      <c r="AK21" s="7" t="n">
        <v>3</v>
      </c>
      <c r="AL21" s="7" t="n">
        <v>3</v>
      </c>
      <c r="AM21" s="7" t="n">
        <v>4</v>
      </c>
      <c r="AN21" s="7" t="n">
        <v>2</v>
      </c>
      <c r="AO21" s="16" t="n">
        <f aca="false">MAX(E21:K21)</f>
        <v>2</v>
      </c>
      <c r="AP21" s="17" t="n">
        <f aca="false">AVERAGE(N21:R21)</f>
        <v>3</v>
      </c>
      <c r="AQ21" s="17" t="n">
        <f aca="false">AVERAGE(S21:V21)</f>
        <v>3.25</v>
      </c>
      <c r="AR21" s="17" t="n">
        <f aca="false">AVERAGE(W21,X21,Z21,AB21)</f>
        <v>3.25</v>
      </c>
      <c r="AS21" s="17" t="n">
        <f aca="false">AVERAGE(AC21:AF21)</f>
        <v>2</v>
      </c>
      <c r="AT21" s="17" t="n">
        <f aca="false">AVERAGE(Y21,AA21,AG21:AM21)</f>
        <v>2.875</v>
      </c>
      <c r="AU21" s="18" t="n">
        <f aca="false">(AO21+AP21+AQ21+AR21+AS21+(6-AT21))/6</f>
        <v>2.77083333333333</v>
      </c>
      <c r="AV21" s="7" t="s">
        <v>1033</v>
      </c>
      <c r="AW21" s="7" t="s">
        <v>1030</v>
      </c>
      <c r="AX21" s="20" t="s">
        <v>1035</v>
      </c>
      <c r="AY21" s="8"/>
    </row>
    <row r="22" customFormat="false" ht="15" hidden="false" customHeight="false" outlineLevel="0" collapsed="false">
      <c r="A22" s="7" t="n">
        <v>299</v>
      </c>
      <c r="B22" s="8" t="s">
        <v>342</v>
      </c>
      <c r="C22" s="8" t="s">
        <v>828</v>
      </c>
      <c r="D22" s="8" t="s">
        <v>814</v>
      </c>
      <c r="E22" s="7" t="n">
        <v>1</v>
      </c>
      <c r="F22" s="7" t="n">
        <v>1</v>
      </c>
      <c r="G22" s="7" t="n">
        <v>1</v>
      </c>
      <c r="H22" s="7" t="n">
        <v>1</v>
      </c>
      <c r="I22" s="7" t="n">
        <v>3</v>
      </c>
      <c r="J22" s="7" t="n">
        <v>1</v>
      </c>
      <c r="K22" s="7" t="n">
        <v>1</v>
      </c>
      <c r="L22" s="7" t="n">
        <v>3</v>
      </c>
      <c r="M22" s="9"/>
      <c r="N22" s="7" t="n">
        <v>3</v>
      </c>
      <c r="O22" s="7" t="n">
        <v>3</v>
      </c>
      <c r="P22" s="7" t="n">
        <v>3</v>
      </c>
      <c r="Q22" s="7" t="n">
        <v>4</v>
      </c>
      <c r="R22" s="7" t="n">
        <v>2</v>
      </c>
      <c r="S22" s="7" t="n">
        <v>4</v>
      </c>
      <c r="T22" s="7" t="n">
        <v>3</v>
      </c>
      <c r="U22" s="7" t="n">
        <v>4</v>
      </c>
      <c r="V22" s="7" t="n">
        <v>4</v>
      </c>
      <c r="W22" s="19" t="n">
        <v>3</v>
      </c>
      <c r="X22" s="7" t="n">
        <v>2</v>
      </c>
      <c r="Y22" s="7" t="n">
        <v>4</v>
      </c>
      <c r="Z22" s="7" t="n">
        <v>3</v>
      </c>
      <c r="AA22" s="7" t="n">
        <v>3</v>
      </c>
      <c r="AB22" s="7" t="n">
        <v>3</v>
      </c>
      <c r="AC22" s="7" t="n">
        <v>2</v>
      </c>
      <c r="AD22" s="7" t="n">
        <v>2</v>
      </c>
      <c r="AE22" s="7" t="n">
        <v>2</v>
      </c>
      <c r="AF22" s="7" t="n">
        <v>2</v>
      </c>
      <c r="AG22" s="7" t="n">
        <v>3</v>
      </c>
      <c r="AH22" s="7" t="n">
        <v>2</v>
      </c>
      <c r="AI22" s="7" t="n">
        <v>4</v>
      </c>
      <c r="AJ22" s="9"/>
      <c r="AK22" s="7" t="n">
        <v>3</v>
      </c>
      <c r="AL22" s="7" t="n">
        <v>3</v>
      </c>
      <c r="AM22" s="7" t="n">
        <v>4</v>
      </c>
      <c r="AN22" s="7" t="n">
        <v>2</v>
      </c>
      <c r="AO22" s="16" t="n">
        <f aca="false">MAX(E22:K22)</f>
        <v>3</v>
      </c>
      <c r="AP22" s="17" t="n">
        <f aca="false">AVERAGE(N22:R22)</f>
        <v>3</v>
      </c>
      <c r="AQ22" s="17" t="n">
        <f aca="false">AVERAGE(S22:V22)</f>
        <v>3.75</v>
      </c>
      <c r="AR22" s="17" t="n">
        <f aca="false">AVERAGE(W22,X22,Z22,AB22)</f>
        <v>2.75</v>
      </c>
      <c r="AS22" s="17" t="n">
        <f aca="false">AVERAGE(AC22:AF22)</f>
        <v>2</v>
      </c>
      <c r="AT22" s="17" t="n">
        <f aca="false">AVERAGE(Y22,AA22,AG22:AM22)</f>
        <v>3.25</v>
      </c>
      <c r="AU22" s="18" t="n">
        <f aca="false">(AO22+AP22+AQ22+AR22+AS22+(6-AT22))/6</f>
        <v>2.875</v>
      </c>
      <c r="AV22" s="7" t="s">
        <v>1033</v>
      </c>
      <c r="AW22" s="7" t="s">
        <v>1030</v>
      </c>
      <c r="AX22" s="20" t="s">
        <v>1035</v>
      </c>
      <c r="AY22" s="8"/>
    </row>
    <row r="23" customFormat="false" ht="22.35" hidden="false" customHeight="false" outlineLevel="0" collapsed="false">
      <c r="A23" s="7" t="n">
        <v>300</v>
      </c>
      <c r="B23" s="8" t="s">
        <v>616</v>
      </c>
      <c r="C23" s="8" t="s">
        <v>617</v>
      </c>
      <c r="D23" s="8" t="s">
        <v>588</v>
      </c>
      <c r="E23" s="7" t="n">
        <v>1</v>
      </c>
      <c r="F23" s="7" t="n">
        <v>1</v>
      </c>
      <c r="G23" s="7" t="n">
        <v>1</v>
      </c>
      <c r="H23" s="7" t="n">
        <v>2</v>
      </c>
      <c r="I23" s="7" t="n">
        <v>2</v>
      </c>
      <c r="J23" s="7" t="n">
        <v>1</v>
      </c>
      <c r="K23" s="7" t="n">
        <v>3</v>
      </c>
      <c r="L23" s="7" t="n">
        <v>4</v>
      </c>
      <c r="M23" s="9"/>
      <c r="N23" s="7" t="n">
        <v>4</v>
      </c>
      <c r="O23" s="7" t="n">
        <v>3</v>
      </c>
      <c r="P23" s="7" t="n">
        <v>3</v>
      </c>
      <c r="Q23" s="7" t="n">
        <v>4</v>
      </c>
      <c r="R23" s="7" t="n">
        <v>4</v>
      </c>
      <c r="S23" s="7" t="n">
        <v>2</v>
      </c>
      <c r="T23" s="7" t="n">
        <v>3</v>
      </c>
      <c r="U23" s="7" t="n">
        <v>5</v>
      </c>
      <c r="V23" s="7" t="n">
        <v>4</v>
      </c>
      <c r="W23" s="19" t="n">
        <v>3</v>
      </c>
      <c r="X23" s="7" t="n">
        <v>3</v>
      </c>
      <c r="Y23" s="7" t="n">
        <v>2</v>
      </c>
      <c r="Z23" s="7" t="n">
        <v>4</v>
      </c>
      <c r="AA23" s="7" t="n">
        <v>3</v>
      </c>
      <c r="AB23" s="7" t="n">
        <v>3</v>
      </c>
      <c r="AC23" s="7" t="n">
        <v>3</v>
      </c>
      <c r="AD23" s="7" t="n">
        <v>4</v>
      </c>
      <c r="AE23" s="7" t="n">
        <v>4</v>
      </c>
      <c r="AF23" s="7" t="n">
        <v>4</v>
      </c>
      <c r="AG23" s="7" t="n">
        <v>4</v>
      </c>
      <c r="AH23" s="7" t="n">
        <v>3</v>
      </c>
      <c r="AI23" s="7" t="n">
        <v>4</v>
      </c>
      <c r="AJ23" s="9"/>
      <c r="AK23" s="7" t="n">
        <v>3</v>
      </c>
      <c r="AL23" s="7" t="n">
        <v>2</v>
      </c>
      <c r="AM23" s="7" t="n">
        <v>1</v>
      </c>
      <c r="AN23" s="7" t="n">
        <v>2</v>
      </c>
      <c r="AO23" s="16" t="n">
        <f aca="false">MAX(E23:K23)</f>
        <v>3</v>
      </c>
      <c r="AP23" s="17" t="n">
        <f aca="false">AVERAGE(N23:R23)</f>
        <v>3.6</v>
      </c>
      <c r="AQ23" s="17" t="n">
        <f aca="false">AVERAGE(S23:V23)</f>
        <v>3.5</v>
      </c>
      <c r="AR23" s="17" t="n">
        <f aca="false">AVERAGE(W23,X23,Z23,AB23)</f>
        <v>3.25</v>
      </c>
      <c r="AS23" s="17" t="n">
        <f aca="false">AVERAGE(AC23:AF23)</f>
        <v>3.75</v>
      </c>
      <c r="AT23" s="17" t="n">
        <f aca="false">AVERAGE(Y23,AA23,AG23:AM23)</f>
        <v>2.75</v>
      </c>
      <c r="AU23" s="18" t="n">
        <f aca="false">(AO23+AP23+AQ23+AR23+AS23+(6-AT23))/6</f>
        <v>3.39166666666667</v>
      </c>
      <c r="AV23" s="7" t="s">
        <v>1033</v>
      </c>
      <c r="AW23" s="7" t="s">
        <v>1030</v>
      </c>
      <c r="AX23" s="20" t="s">
        <v>1035</v>
      </c>
      <c r="AY23" s="8"/>
    </row>
    <row r="24" customFormat="false" ht="22.35" hidden="false" customHeight="false" outlineLevel="0" collapsed="false">
      <c r="A24" s="7" t="n">
        <v>301</v>
      </c>
      <c r="B24" s="8" t="s">
        <v>640</v>
      </c>
      <c r="C24" s="8" t="s">
        <v>1038</v>
      </c>
      <c r="D24" s="8" t="s">
        <v>642</v>
      </c>
      <c r="E24" s="7" t="n">
        <v>1</v>
      </c>
      <c r="F24" s="7" t="n">
        <v>1</v>
      </c>
      <c r="G24" s="7" t="n">
        <v>2</v>
      </c>
      <c r="H24" s="7" t="n">
        <v>2</v>
      </c>
      <c r="I24" s="7" t="n">
        <v>4</v>
      </c>
      <c r="J24" s="7" t="n">
        <v>1</v>
      </c>
      <c r="K24" s="7" t="n">
        <v>1</v>
      </c>
      <c r="L24" s="7" t="n">
        <v>5</v>
      </c>
      <c r="M24" s="9"/>
      <c r="N24" s="7" t="n">
        <v>4</v>
      </c>
      <c r="O24" s="7" t="n">
        <v>2</v>
      </c>
      <c r="P24" s="7" t="n">
        <v>3</v>
      </c>
      <c r="Q24" s="7" t="n">
        <v>3</v>
      </c>
      <c r="R24" s="7" t="n">
        <v>3</v>
      </c>
      <c r="S24" s="7" t="n">
        <v>2</v>
      </c>
      <c r="T24" s="7" t="n">
        <v>2</v>
      </c>
      <c r="U24" s="7" t="n">
        <v>3</v>
      </c>
      <c r="V24" s="7" t="n">
        <v>5</v>
      </c>
      <c r="W24" s="19" t="n">
        <v>3</v>
      </c>
      <c r="X24" s="7" t="n">
        <v>5</v>
      </c>
      <c r="Y24" s="7" t="n">
        <v>2</v>
      </c>
      <c r="Z24" s="7" t="n">
        <v>4</v>
      </c>
      <c r="AA24" s="7" t="n">
        <v>3</v>
      </c>
      <c r="AB24" s="7" t="n">
        <v>3</v>
      </c>
      <c r="AC24" s="7" t="n">
        <v>4</v>
      </c>
      <c r="AD24" s="7" t="n">
        <v>5</v>
      </c>
      <c r="AE24" s="7" t="n">
        <v>3</v>
      </c>
      <c r="AF24" s="7" t="n">
        <v>3</v>
      </c>
      <c r="AG24" s="7" t="n">
        <v>4</v>
      </c>
      <c r="AH24" s="7" t="n">
        <v>4</v>
      </c>
      <c r="AI24" s="7" t="n">
        <v>4</v>
      </c>
      <c r="AJ24" s="9"/>
      <c r="AK24" s="7" t="n">
        <v>3</v>
      </c>
      <c r="AL24" s="7" t="n">
        <v>2</v>
      </c>
      <c r="AM24" s="7" t="n">
        <v>4</v>
      </c>
      <c r="AN24" s="7" t="n">
        <v>3</v>
      </c>
      <c r="AO24" s="16" t="n">
        <f aca="false">MAX(E24:K24)</f>
        <v>4</v>
      </c>
      <c r="AP24" s="17" t="n">
        <f aca="false">AVERAGE(N24:R24)</f>
        <v>3</v>
      </c>
      <c r="AQ24" s="17" t="n">
        <f aca="false">AVERAGE(S24:V24)</f>
        <v>3</v>
      </c>
      <c r="AR24" s="17" t="n">
        <f aca="false">AVERAGE(W24,X24,Z24,AB24)</f>
        <v>3.75</v>
      </c>
      <c r="AS24" s="17" t="n">
        <f aca="false">AVERAGE(AC24:AF24)</f>
        <v>3.75</v>
      </c>
      <c r="AT24" s="17" t="n">
        <f aca="false">AVERAGE(Y24,AA24,AG24:AM24)</f>
        <v>3.25</v>
      </c>
      <c r="AU24" s="18" t="n">
        <f aca="false">(AO24+AP24+AQ24+AR24+AS24+(6-AT24))/6</f>
        <v>3.375</v>
      </c>
      <c r="AV24" s="7" t="s">
        <v>1029</v>
      </c>
      <c r="AW24" s="7" t="s">
        <v>1030</v>
      </c>
      <c r="AX24" s="20" t="s">
        <v>1035</v>
      </c>
      <c r="AY24" s="8"/>
    </row>
    <row r="25" customFormat="false" ht="22.35" hidden="false" customHeight="false" outlineLevel="0" collapsed="false">
      <c r="A25" s="7" t="n">
        <v>302</v>
      </c>
      <c r="B25" s="8" t="s">
        <v>668</v>
      </c>
      <c r="C25" s="8" t="s">
        <v>669</v>
      </c>
      <c r="D25" s="8" t="s">
        <v>670</v>
      </c>
      <c r="E25" s="7" t="n">
        <v>1</v>
      </c>
      <c r="F25" s="7" t="n">
        <v>3</v>
      </c>
      <c r="G25" s="7" t="n">
        <v>1</v>
      </c>
      <c r="H25" s="7" t="n">
        <v>3</v>
      </c>
      <c r="I25" s="7" t="n">
        <v>2</v>
      </c>
      <c r="J25" s="7" t="n">
        <v>1</v>
      </c>
      <c r="K25" s="7" t="n">
        <v>5</v>
      </c>
      <c r="L25" s="7" t="n">
        <v>5</v>
      </c>
      <c r="M25" s="9"/>
      <c r="N25" s="7" t="n">
        <v>3</v>
      </c>
      <c r="O25" s="7" t="n">
        <v>3</v>
      </c>
      <c r="P25" s="7" t="n">
        <v>4</v>
      </c>
      <c r="Q25" s="7" t="n">
        <v>3</v>
      </c>
      <c r="R25" s="7" t="n">
        <v>3</v>
      </c>
      <c r="S25" s="7" t="n">
        <v>3</v>
      </c>
      <c r="T25" s="7" t="n">
        <v>3</v>
      </c>
      <c r="U25" s="7" t="n">
        <v>5</v>
      </c>
      <c r="V25" s="7" t="n">
        <v>4</v>
      </c>
      <c r="W25" s="19" t="n">
        <v>3</v>
      </c>
      <c r="X25" s="7" t="n">
        <v>2</v>
      </c>
      <c r="Y25" s="7" t="n">
        <v>2</v>
      </c>
      <c r="Z25" s="7" t="n">
        <v>4</v>
      </c>
      <c r="AA25" s="7" t="n">
        <v>4</v>
      </c>
      <c r="AB25" s="7" t="n">
        <v>3</v>
      </c>
      <c r="AC25" s="7" t="n">
        <v>3</v>
      </c>
      <c r="AD25" s="7" t="n">
        <v>5</v>
      </c>
      <c r="AE25" s="7" t="n">
        <v>4</v>
      </c>
      <c r="AF25" s="7" t="n">
        <v>5</v>
      </c>
      <c r="AG25" s="7" t="n">
        <v>4</v>
      </c>
      <c r="AH25" s="7" t="n">
        <v>4</v>
      </c>
      <c r="AI25" s="7" t="n">
        <v>5</v>
      </c>
      <c r="AJ25" s="9"/>
      <c r="AK25" s="7" t="n">
        <v>3</v>
      </c>
      <c r="AL25" s="7" t="n">
        <v>1</v>
      </c>
      <c r="AM25" s="7" t="n">
        <v>1</v>
      </c>
      <c r="AN25" s="7" t="n">
        <v>2</v>
      </c>
      <c r="AO25" s="16" t="n">
        <f aca="false">MAX(E25:K25)</f>
        <v>5</v>
      </c>
      <c r="AP25" s="17" t="n">
        <f aca="false">AVERAGE(N25:R25)</f>
        <v>3.2</v>
      </c>
      <c r="AQ25" s="17" t="n">
        <f aca="false">AVERAGE(S25:V25)</f>
        <v>3.75</v>
      </c>
      <c r="AR25" s="17" t="n">
        <f aca="false">AVERAGE(W25,X25,Z25,AB25)</f>
        <v>3</v>
      </c>
      <c r="AS25" s="17" t="n">
        <f aca="false">AVERAGE(AC25:AF25)</f>
        <v>4.25</v>
      </c>
      <c r="AT25" s="17" t="n">
        <f aca="false">AVERAGE(Y25,AA25,AG25:AM25)</f>
        <v>3</v>
      </c>
      <c r="AU25" s="18" t="n">
        <f aca="false">(AO25+AP25+AQ25+AR25+AS25+(6-AT25))/6</f>
        <v>3.7</v>
      </c>
      <c r="AV25" s="7" t="s">
        <v>1033</v>
      </c>
      <c r="AW25" s="7" t="s">
        <v>1033</v>
      </c>
      <c r="AX25" s="20" t="s">
        <v>1035</v>
      </c>
      <c r="AY25" s="8"/>
    </row>
    <row r="26" customFormat="false" ht="15" hidden="false" customHeight="false" outlineLevel="0" collapsed="false">
      <c r="A26" s="7" t="n">
        <v>303</v>
      </c>
      <c r="B26" s="8" t="s">
        <v>668</v>
      </c>
      <c r="C26" s="8" t="s">
        <v>745</v>
      </c>
      <c r="D26" s="8" t="s">
        <v>737</v>
      </c>
      <c r="E26" s="7" t="n">
        <v>1</v>
      </c>
      <c r="F26" s="7" t="n">
        <v>2</v>
      </c>
      <c r="G26" s="7" t="n">
        <v>1</v>
      </c>
      <c r="H26" s="7" t="n">
        <v>1</v>
      </c>
      <c r="I26" s="7" t="n">
        <v>2</v>
      </c>
      <c r="J26" s="7" t="n">
        <v>1</v>
      </c>
      <c r="K26" s="7" t="n">
        <v>4</v>
      </c>
      <c r="L26" s="7" t="n">
        <v>5</v>
      </c>
      <c r="M26" s="9"/>
      <c r="N26" s="7" t="n">
        <v>3</v>
      </c>
      <c r="O26" s="7" t="n">
        <v>3</v>
      </c>
      <c r="P26" s="7" t="n">
        <v>4</v>
      </c>
      <c r="Q26" s="7" t="n">
        <v>4</v>
      </c>
      <c r="R26" s="7" t="n">
        <v>4</v>
      </c>
      <c r="S26" s="7" t="n">
        <v>3</v>
      </c>
      <c r="T26" s="7" t="n">
        <v>3</v>
      </c>
      <c r="U26" s="7" t="n">
        <v>5</v>
      </c>
      <c r="V26" s="7" t="n">
        <v>5</v>
      </c>
      <c r="W26" s="19" t="n">
        <v>3</v>
      </c>
      <c r="X26" s="7" t="n">
        <v>5</v>
      </c>
      <c r="Y26" s="7" t="n">
        <v>3</v>
      </c>
      <c r="Z26" s="7" t="n">
        <v>2</v>
      </c>
      <c r="AA26" s="7" t="n">
        <v>4</v>
      </c>
      <c r="AB26" s="7" t="n">
        <v>3</v>
      </c>
      <c r="AC26" s="7" t="n">
        <v>4</v>
      </c>
      <c r="AD26" s="7" t="n">
        <v>5</v>
      </c>
      <c r="AE26" s="7" t="n">
        <v>4</v>
      </c>
      <c r="AF26" s="7" t="n">
        <v>4</v>
      </c>
      <c r="AG26" s="7" t="n">
        <v>5</v>
      </c>
      <c r="AH26" s="7" t="n">
        <v>4</v>
      </c>
      <c r="AI26" s="7" t="n">
        <v>5</v>
      </c>
      <c r="AJ26" s="9"/>
      <c r="AK26" s="7" t="n">
        <v>4</v>
      </c>
      <c r="AL26" s="7" t="n">
        <v>2</v>
      </c>
      <c r="AM26" s="7" t="n">
        <v>1</v>
      </c>
      <c r="AN26" s="7" t="n">
        <v>2</v>
      </c>
      <c r="AO26" s="16" t="n">
        <f aca="false">MAX(E26:K26)</f>
        <v>4</v>
      </c>
      <c r="AP26" s="17" t="n">
        <f aca="false">AVERAGE(N26:R26)</f>
        <v>3.6</v>
      </c>
      <c r="AQ26" s="17" t="n">
        <f aca="false">AVERAGE(S26:V26)</f>
        <v>4</v>
      </c>
      <c r="AR26" s="17" t="n">
        <f aca="false">AVERAGE(W26,X26,Z26,AB26)</f>
        <v>3.25</v>
      </c>
      <c r="AS26" s="17" t="n">
        <f aca="false">AVERAGE(AC26:AF26)</f>
        <v>4.25</v>
      </c>
      <c r="AT26" s="17" t="n">
        <f aca="false">AVERAGE(Y26,AA26,AG26:AM26)</f>
        <v>3.5</v>
      </c>
      <c r="AU26" s="18" t="n">
        <f aca="false">(AO26+AP26+AQ26+AR26+AS26+(6-AT26))/6</f>
        <v>3.6</v>
      </c>
      <c r="AV26" s="7" t="s">
        <v>1029</v>
      </c>
      <c r="AW26" s="7" t="s">
        <v>1033</v>
      </c>
      <c r="AX26" s="20" t="s">
        <v>1035</v>
      </c>
      <c r="AY26" s="8"/>
    </row>
    <row r="27" customFormat="false" ht="22.35" hidden="false" customHeight="false" outlineLevel="0" collapsed="false">
      <c r="A27" s="7" t="n">
        <v>304</v>
      </c>
      <c r="B27" s="8" t="s">
        <v>417</v>
      </c>
      <c r="C27" s="8" t="s">
        <v>1039</v>
      </c>
      <c r="D27" s="8" t="s">
        <v>409</v>
      </c>
      <c r="E27" s="7" t="n">
        <v>1</v>
      </c>
      <c r="F27" s="7" t="n">
        <v>1</v>
      </c>
      <c r="G27" s="7" t="n">
        <v>1</v>
      </c>
      <c r="H27" s="7" t="n">
        <v>1</v>
      </c>
      <c r="I27" s="7" t="n">
        <v>2</v>
      </c>
      <c r="J27" s="7" t="n">
        <v>1</v>
      </c>
      <c r="K27" s="7" t="n">
        <v>1</v>
      </c>
      <c r="L27" s="7" t="n">
        <v>4</v>
      </c>
      <c r="M27" s="9"/>
      <c r="N27" s="7" t="n">
        <v>3</v>
      </c>
      <c r="O27" s="7" t="n">
        <v>1</v>
      </c>
      <c r="P27" s="7" t="n">
        <v>3</v>
      </c>
      <c r="Q27" s="7" t="n">
        <v>2</v>
      </c>
      <c r="R27" s="7" t="n">
        <v>2</v>
      </c>
      <c r="S27" s="7" t="n">
        <v>2</v>
      </c>
      <c r="T27" s="7" t="n">
        <v>2</v>
      </c>
      <c r="U27" s="7" t="n">
        <v>3</v>
      </c>
      <c r="V27" s="7" t="n">
        <v>4</v>
      </c>
      <c r="W27" s="19" t="n">
        <v>3</v>
      </c>
      <c r="X27" s="7" t="n">
        <v>4</v>
      </c>
      <c r="Y27" s="7" t="n">
        <v>3</v>
      </c>
      <c r="Z27" s="7" t="n">
        <v>3</v>
      </c>
      <c r="AA27" s="7" t="n">
        <v>3</v>
      </c>
      <c r="AB27" s="7" t="n">
        <v>3</v>
      </c>
      <c r="AC27" s="7" t="n">
        <v>2</v>
      </c>
      <c r="AD27" s="7" t="n">
        <v>3</v>
      </c>
      <c r="AE27" s="7" t="n">
        <v>3</v>
      </c>
      <c r="AF27" s="7" t="n">
        <v>3</v>
      </c>
      <c r="AG27" s="7" t="n">
        <v>4</v>
      </c>
      <c r="AH27" s="7" t="n">
        <v>3</v>
      </c>
      <c r="AI27" s="7" t="n">
        <v>3</v>
      </c>
      <c r="AJ27" s="9"/>
      <c r="AK27" s="7" t="n">
        <v>3</v>
      </c>
      <c r="AL27" s="7" t="n">
        <v>2</v>
      </c>
      <c r="AM27" s="7" t="n">
        <v>3</v>
      </c>
      <c r="AN27" s="7" t="n">
        <v>2</v>
      </c>
      <c r="AO27" s="16" t="n">
        <f aca="false">MAX(E27:K27)</f>
        <v>2</v>
      </c>
      <c r="AP27" s="17" t="n">
        <f aca="false">AVERAGE(N27:R27)</f>
        <v>2.2</v>
      </c>
      <c r="AQ27" s="17" t="n">
        <f aca="false">AVERAGE(S27:V27)</f>
        <v>2.75</v>
      </c>
      <c r="AR27" s="17" t="n">
        <f aca="false">AVERAGE(W27,X27,Z27,AB27)</f>
        <v>3.25</v>
      </c>
      <c r="AS27" s="17" t="n">
        <f aca="false">AVERAGE(AC27:AF27)</f>
        <v>2.75</v>
      </c>
      <c r="AT27" s="17" t="n">
        <f aca="false">AVERAGE(Y27,AA27,AG27:AM27)</f>
        <v>3</v>
      </c>
      <c r="AU27" s="18" t="n">
        <f aca="false">(AO27+AP27+AQ27+AR27+AS27+(6-AT27))/6</f>
        <v>2.65833333333333</v>
      </c>
      <c r="AV27" s="7" t="s">
        <v>1029</v>
      </c>
      <c r="AW27" s="7" t="s">
        <v>1030</v>
      </c>
      <c r="AX27" s="20" t="s">
        <v>1035</v>
      </c>
      <c r="AY27" s="8"/>
    </row>
    <row r="28" customFormat="false" ht="22.35" hidden="false" customHeight="false" outlineLevel="0" collapsed="false">
      <c r="A28" s="7" t="n">
        <v>305</v>
      </c>
      <c r="B28" s="8" t="s">
        <v>426</v>
      </c>
      <c r="C28" s="8" t="s">
        <v>427</v>
      </c>
      <c r="D28" s="8" t="s">
        <v>409</v>
      </c>
      <c r="E28" s="7" t="n">
        <v>1</v>
      </c>
      <c r="F28" s="7" t="n">
        <v>4</v>
      </c>
      <c r="G28" s="7" t="n">
        <v>1</v>
      </c>
      <c r="H28" s="7" t="n">
        <v>1</v>
      </c>
      <c r="I28" s="7" t="n">
        <v>2</v>
      </c>
      <c r="J28" s="7" t="n">
        <v>1</v>
      </c>
      <c r="K28" s="7" t="n">
        <v>4</v>
      </c>
      <c r="L28" s="7" t="n">
        <v>4</v>
      </c>
      <c r="M28" s="9"/>
      <c r="N28" s="7" t="n">
        <v>4</v>
      </c>
      <c r="O28" s="7" t="n">
        <v>3</v>
      </c>
      <c r="P28" s="7" t="n">
        <v>5</v>
      </c>
      <c r="Q28" s="7" t="n">
        <v>4</v>
      </c>
      <c r="R28" s="7" t="n">
        <v>5</v>
      </c>
      <c r="S28" s="7" t="n">
        <v>2</v>
      </c>
      <c r="T28" s="7" t="n">
        <v>3</v>
      </c>
      <c r="U28" s="7" t="n">
        <v>5</v>
      </c>
      <c r="V28" s="7" t="n">
        <v>3</v>
      </c>
      <c r="W28" s="19" t="n">
        <v>3</v>
      </c>
      <c r="X28" s="7" t="n">
        <v>2</v>
      </c>
      <c r="Y28" s="7" t="n">
        <v>3</v>
      </c>
      <c r="Z28" s="7" t="n">
        <v>2</v>
      </c>
      <c r="AA28" s="7" t="n">
        <v>4</v>
      </c>
      <c r="AB28" s="7" t="n">
        <v>4</v>
      </c>
      <c r="AC28" s="7" t="n">
        <v>3</v>
      </c>
      <c r="AD28" s="7" t="n">
        <v>5</v>
      </c>
      <c r="AE28" s="7" t="n">
        <v>4</v>
      </c>
      <c r="AF28" s="7" t="n">
        <v>5</v>
      </c>
      <c r="AG28" s="7" t="n">
        <v>4</v>
      </c>
      <c r="AH28" s="7" t="n">
        <v>4</v>
      </c>
      <c r="AI28" s="7" t="n">
        <v>4</v>
      </c>
      <c r="AJ28" s="9"/>
      <c r="AK28" s="7" t="n">
        <v>3</v>
      </c>
      <c r="AL28" s="7" t="n">
        <v>2</v>
      </c>
      <c r="AM28" s="7" t="n">
        <v>2</v>
      </c>
      <c r="AN28" s="7" t="n">
        <v>2</v>
      </c>
      <c r="AO28" s="16" t="n">
        <f aca="false">MAX(E28:K28)</f>
        <v>4</v>
      </c>
      <c r="AP28" s="17" t="n">
        <f aca="false">AVERAGE(N28:R28)</f>
        <v>4.2</v>
      </c>
      <c r="AQ28" s="17" t="n">
        <f aca="false">AVERAGE(S28:V28)</f>
        <v>3.25</v>
      </c>
      <c r="AR28" s="17" t="n">
        <f aca="false">AVERAGE(W28,X28,Z28,AB28)</f>
        <v>2.75</v>
      </c>
      <c r="AS28" s="17" t="n">
        <f aca="false">AVERAGE(AC28:AF28)</f>
        <v>4.25</v>
      </c>
      <c r="AT28" s="17" t="n">
        <f aca="false">AVERAGE(Y28,AA28,AG28:AM28)</f>
        <v>3.25</v>
      </c>
      <c r="AU28" s="18" t="n">
        <f aca="false">(AO28+AP28+AQ28+AR28+AS28+(6-AT28))/6</f>
        <v>3.53333333333333</v>
      </c>
      <c r="AV28" s="7" t="s">
        <v>1033</v>
      </c>
      <c r="AW28" s="7" t="s">
        <v>1033</v>
      </c>
      <c r="AX28" s="20" t="s">
        <v>1035</v>
      </c>
      <c r="AY28" s="8"/>
    </row>
    <row r="29" customFormat="false" ht="22.35" hidden="false" customHeight="false" outlineLevel="0" collapsed="false">
      <c r="A29" s="7" t="n">
        <v>306</v>
      </c>
      <c r="B29" s="8" t="s">
        <v>678</v>
      </c>
      <c r="C29" s="8" t="s">
        <v>679</v>
      </c>
      <c r="D29" s="8" t="s">
        <v>670</v>
      </c>
      <c r="E29" s="7" t="n">
        <v>1</v>
      </c>
      <c r="F29" s="7" t="n">
        <v>1</v>
      </c>
      <c r="G29" s="7" t="n">
        <v>1</v>
      </c>
      <c r="H29" s="7" t="n">
        <v>1</v>
      </c>
      <c r="I29" s="7" t="n">
        <v>1</v>
      </c>
      <c r="J29" s="7" t="n">
        <v>1</v>
      </c>
      <c r="K29" s="7" t="n">
        <v>2</v>
      </c>
      <c r="L29" s="7" t="n">
        <v>3</v>
      </c>
      <c r="M29" s="9"/>
      <c r="N29" s="7" t="n">
        <v>4</v>
      </c>
      <c r="O29" s="7" t="n">
        <v>3</v>
      </c>
      <c r="P29" s="7" t="n">
        <v>4</v>
      </c>
      <c r="Q29" s="7" t="n">
        <v>4</v>
      </c>
      <c r="R29" s="7" t="n">
        <v>3</v>
      </c>
      <c r="S29" s="7" t="n">
        <v>2</v>
      </c>
      <c r="T29" s="7" t="n">
        <v>3</v>
      </c>
      <c r="U29" s="7" t="n">
        <v>4</v>
      </c>
      <c r="V29" s="7" t="n">
        <v>3</v>
      </c>
      <c r="W29" s="19" t="n">
        <v>3</v>
      </c>
      <c r="X29" s="7" t="n">
        <v>3</v>
      </c>
      <c r="Y29" s="7" t="n">
        <v>1</v>
      </c>
      <c r="Z29" s="7" t="n">
        <v>4</v>
      </c>
      <c r="AA29" s="7" t="n">
        <v>3</v>
      </c>
      <c r="AB29" s="7" t="n">
        <v>4</v>
      </c>
      <c r="AC29" s="7" t="n">
        <v>2</v>
      </c>
      <c r="AD29" s="7" t="n">
        <v>3</v>
      </c>
      <c r="AE29" s="7" t="n">
        <v>4</v>
      </c>
      <c r="AF29" s="7" t="n">
        <v>4</v>
      </c>
      <c r="AG29" s="7" t="n">
        <v>3</v>
      </c>
      <c r="AH29" s="7" t="n">
        <v>2</v>
      </c>
      <c r="AI29" s="7" t="n">
        <v>3</v>
      </c>
      <c r="AJ29" s="9"/>
      <c r="AK29" s="7" t="n">
        <v>2</v>
      </c>
      <c r="AL29" s="7" t="n">
        <v>3</v>
      </c>
      <c r="AM29" s="7" t="n">
        <v>1</v>
      </c>
      <c r="AN29" s="7" t="n">
        <v>3</v>
      </c>
      <c r="AO29" s="16" t="n">
        <f aca="false">MAX(E29:K29)</f>
        <v>2</v>
      </c>
      <c r="AP29" s="17" t="n">
        <f aca="false">AVERAGE(N29:R29)</f>
        <v>3.6</v>
      </c>
      <c r="AQ29" s="17" t="n">
        <f aca="false">AVERAGE(S29:V29)</f>
        <v>3</v>
      </c>
      <c r="AR29" s="17" t="n">
        <f aca="false">AVERAGE(W29,X29,Z29,AB29)</f>
        <v>3.5</v>
      </c>
      <c r="AS29" s="17" t="n">
        <f aca="false">AVERAGE(AC29:AF29)</f>
        <v>3.25</v>
      </c>
      <c r="AT29" s="17" t="n">
        <f aca="false">AVERAGE(Y29,AA29,AG29:AM29)</f>
        <v>2.25</v>
      </c>
      <c r="AU29" s="18" t="n">
        <f aca="false">(AO29+AP29+AQ29+AR29+AS29+(6-AT29))/6</f>
        <v>3.18333333333333</v>
      </c>
      <c r="AV29" s="7" t="s">
        <v>1029</v>
      </c>
      <c r="AW29" s="7" t="s">
        <v>1033</v>
      </c>
      <c r="AX29" s="20" t="s">
        <v>1035</v>
      </c>
      <c r="AY29" s="8"/>
    </row>
    <row r="30" customFormat="false" ht="22.35" hidden="false" customHeight="false" outlineLevel="0" collapsed="false">
      <c r="A30" s="7" t="n">
        <v>307</v>
      </c>
      <c r="B30" s="8" t="s">
        <v>678</v>
      </c>
      <c r="C30" s="8" t="s">
        <v>686</v>
      </c>
      <c r="D30" s="8" t="s">
        <v>670</v>
      </c>
      <c r="E30" s="7" t="n">
        <v>1</v>
      </c>
      <c r="F30" s="7" t="n">
        <v>2</v>
      </c>
      <c r="G30" s="7" t="n">
        <v>1</v>
      </c>
      <c r="H30" s="7" t="n">
        <v>1</v>
      </c>
      <c r="I30" s="7" t="n">
        <v>2</v>
      </c>
      <c r="J30" s="7" t="n">
        <v>1</v>
      </c>
      <c r="K30" s="7" t="n">
        <v>2</v>
      </c>
      <c r="L30" s="7" t="n">
        <v>4</v>
      </c>
      <c r="M30" s="9"/>
      <c r="N30" s="7" t="n">
        <v>4</v>
      </c>
      <c r="O30" s="7" t="n">
        <v>3</v>
      </c>
      <c r="P30" s="7" t="n">
        <v>4</v>
      </c>
      <c r="Q30" s="7" t="n">
        <v>3</v>
      </c>
      <c r="R30" s="7" t="n">
        <v>4</v>
      </c>
      <c r="S30" s="7" t="n">
        <v>2</v>
      </c>
      <c r="T30" s="7" t="n">
        <v>3</v>
      </c>
      <c r="U30" s="7" t="n">
        <v>4</v>
      </c>
      <c r="V30" s="7" t="n">
        <v>4</v>
      </c>
      <c r="W30" s="19" t="n">
        <v>3</v>
      </c>
      <c r="X30" s="7" t="n">
        <v>4</v>
      </c>
      <c r="Y30" s="7" t="n">
        <v>2</v>
      </c>
      <c r="Z30" s="7" t="n">
        <v>4</v>
      </c>
      <c r="AA30" s="7" t="n">
        <v>2</v>
      </c>
      <c r="AB30" s="7" t="n">
        <v>4</v>
      </c>
      <c r="AC30" s="7" t="n">
        <v>3</v>
      </c>
      <c r="AD30" s="7" t="n">
        <v>3</v>
      </c>
      <c r="AE30" s="7" t="n">
        <v>4</v>
      </c>
      <c r="AF30" s="7" t="n">
        <v>4</v>
      </c>
      <c r="AG30" s="7" t="n">
        <v>3</v>
      </c>
      <c r="AH30" s="7" t="n">
        <v>2</v>
      </c>
      <c r="AI30" s="7" t="n">
        <v>4</v>
      </c>
      <c r="AJ30" s="9"/>
      <c r="AK30" s="7" t="n">
        <v>2</v>
      </c>
      <c r="AL30" s="7" t="n">
        <v>3</v>
      </c>
      <c r="AM30" s="7" t="n">
        <v>1</v>
      </c>
      <c r="AN30" s="7" t="n">
        <v>2</v>
      </c>
      <c r="AO30" s="16" t="n">
        <f aca="false">MAX(E30:K30)</f>
        <v>2</v>
      </c>
      <c r="AP30" s="17" t="n">
        <f aca="false">AVERAGE(N30:R30)</f>
        <v>3.6</v>
      </c>
      <c r="AQ30" s="17" t="n">
        <f aca="false">AVERAGE(S30:V30)</f>
        <v>3.25</v>
      </c>
      <c r="AR30" s="17" t="n">
        <f aca="false">AVERAGE(W30,X30,Z30,AB30)</f>
        <v>3.75</v>
      </c>
      <c r="AS30" s="17" t="n">
        <f aca="false">AVERAGE(AC30:AF30)</f>
        <v>3.5</v>
      </c>
      <c r="AT30" s="17" t="n">
        <f aca="false">AVERAGE(Y30,AA30,AG30:AM30)</f>
        <v>2.375</v>
      </c>
      <c r="AU30" s="18" t="n">
        <f aca="false">(AO30+AP30+AQ30+AR30+AS30+(6-AT30))/6</f>
        <v>3.2875</v>
      </c>
      <c r="AV30" s="7" t="s">
        <v>1029</v>
      </c>
      <c r="AW30" s="7" t="s">
        <v>1033</v>
      </c>
      <c r="AX30" s="20" t="s">
        <v>1035</v>
      </c>
      <c r="AY30" s="8"/>
    </row>
    <row r="31" customFormat="false" ht="22.35" hidden="false" customHeight="false" outlineLevel="0" collapsed="false">
      <c r="A31" s="7" t="n">
        <v>308</v>
      </c>
      <c r="B31" s="8" t="s">
        <v>342</v>
      </c>
      <c r="C31" s="8" t="s">
        <v>1040</v>
      </c>
      <c r="D31" s="8" t="s">
        <v>642</v>
      </c>
      <c r="E31" s="7" t="n">
        <v>1</v>
      </c>
      <c r="F31" s="7" t="n">
        <v>1</v>
      </c>
      <c r="G31" s="7" t="n">
        <v>1</v>
      </c>
      <c r="H31" s="7" t="n">
        <v>2</v>
      </c>
      <c r="I31" s="7" t="n">
        <v>3</v>
      </c>
      <c r="J31" s="7" t="n">
        <v>1</v>
      </c>
      <c r="K31" s="7" t="n">
        <v>1</v>
      </c>
      <c r="L31" s="7" t="n">
        <v>5</v>
      </c>
      <c r="M31" s="9"/>
      <c r="N31" s="7" t="n">
        <v>3</v>
      </c>
      <c r="O31" s="7" t="n">
        <v>3</v>
      </c>
      <c r="P31" s="7" t="n">
        <v>3</v>
      </c>
      <c r="Q31" s="7" t="n">
        <v>2</v>
      </c>
      <c r="R31" s="7" t="n">
        <v>5</v>
      </c>
      <c r="S31" s="7" t="n">
        <v>4</v>
      </c>
      <c r="T31" s="7" t="n">
        <v>3</v>
      </c>
      <c r="U31" s="7" t="n">
        <v>4</v>
      </c>
      <c r="V31" s="7" t="n">
        <v>3</v>
      </c>
      <c r="W31" s="19" t="n">
        <v>3</v>
      </c>
      <c r="X31" s="7" t="n">
        <v>5</v>
      </c>
      <c r="Y31" s="7" t="n">
        <v>1</v>
      </c>
      <c r="Z31" s="7" t="n">
        <v>2</v>
      </c>
      <c r="AA31" s="7" t="n">
        <v>5</v>
      </c>
      <c r="AB31" s="7" t="n">
        <v>3</v>
      </c>
      <c r="AC31" s="7" t="n">
        <v>5</v>
      </c>
      <c r="AD31" s="7" t="n">
        <v>5</v>
      </c>
      <c r="AE31" s="7" t="n">
        <v>5</v>
      </c>
      <c r="AF31" s="7" t="n">
        <v>5</v>
      </c>
      <c r="AG31" s="7" t="n">
        <v>5</v>
      </c>
      <c r="AH31" s="7" t="n">
        <v>5</v>
      </c>
      <c r="AI31" s="7" t="n">
        <v>1</v>
      </c>
      <c r="AJ31" s="9"/>
      <c r="AK31" s="7" t="n">
        <v>3</v>
      </c>
      <c r="AL31" s="7" t="n">
        <v>2</v>
      </c>
      <c r="AM31" s="7" t="n">
        <v>2</v>
      </c>
      <c r="AN31" s="7" t="n">
        <v>1</v>
      </c>
      <c r="AO31" s="16" t="n">
        <f aca="false">MAX(E31:K31)</f>
        <v>3</v>
      </c>
      <c r="AP31" s="17" t="n">
        <f aca="false">AVERAGE(N31:R31)</f>
        <v>3.2</v>
      </c>
      <c r="AQ31" s="17" t="n">
        <f aca="false">AVERAGE(S31:V31)</f>
        <v>3.5</v>
      </c>
      <c r="AR31" s="17" t="n">
        <f aca="false">AVERAGE(W31,X31,Z31,AB31)</f>
        <v>3.25</v>
      </c>
      <c r="AS31" s="17" t="n">
        <f aca="false">AVERAGE(AC31:AF31)</f>
        <v>5</v>
      </c>
      <c r="AT31" s="17" t="n">
        <f aca="false">AVERAGE(Y31,AA31,AG31:AM31)</f>
        <v>3</v>
      </c>
      <c r="AU31" s="18" t="n">
        <f aca="false">(AO31+AP31+AQ31+AR31+AS31+(6-AT31))/6</f>
        <v>3.49166666666667</v>
      </c>
      <c r="AV31" s="7" t="s">
        <v>1029</v>
      </c>
      <c r="AW31" s="7" t="s">
        <v>1030</v>
      </c>
      <c r="AX31" s="20" t="s">
        <v>1035</v>
      </c>
      <c r="AY31" s="8"/>
    </row>
    <row r="32" customFormat="false" ht="22.35" hidden="false" customHeight="false" outlineLevel="0" collapsed="false">
      <c r="A32" s="7" t="n">
        <v>309</v>
      </c>
      <c r="B32" s="8" t="s">
        <v>342</v>
      </c>
      <c r="C32" s="8" t="s">
        <v>343</v>
      </c>
      <c r="D32" s="8" t="s">
        <v>304</v>
      </c>
      <c r="E32" s="7" t="n">
        <v>4</v>
      </c>
      <c r="F32" s="7" t="n">
        <v>1</v>
      </c>
      <c r="G32" s="7" t="n">
        <v>1</v>
      </c>
      <c r="H32" s="7" t="n">
        <v>2</v>
      </c>
      <c r="I32" s="7" t="n">
        <v>3</v>
      </c>
      <c r="J32" s="7" t="n">
        <v>3</v>
      </c>
      <c r="K32" s="7" t="n">
        <v>1</v>
      </c>
      <c r="L32" s="7" t="n">
        <v>5</v>
      </c>
      <c r="M32" s="9"/>
      <c r="N32" s="7" t="n">
        <v>3</v>
      </c>
      <c r="O32" s="7" t="n">
        <v>3</v>
      </c>
      <c r="P32" s="7" t="n">
        <v>3</v>
      </c>
      <c r="Q32" s="7" t="n">
        <v>2</v>
      </c>
      <c r="R32" s="7" t="n">
        <v>4</v>
      </c>
      <c r="S32" s="7" t="n">
        <v>4</v>
      </c>
      <c r="T32" s="7" t="n">
        <v>3</v>
      </c>
      <c r="U32" s="7" t="n">
        <v>4</v>
      </c>
      <c r="V32" s="7" t="n">
        <v>3</v>
      </c>
      <c r="W32" s="19" t="n">
        <v>3</v>
      </c>
      <c r="X32" s="7" t="n">
        <v>5</v>
      </c>
      <c r="Y32" s="7" t="n">
        <v>1</v>
      </c>
      <c r="Z32" s="7" t="n">
        <v>2</v>
      </c>
      <c r="AA32" s="7" t="n">
        <v>4</v>
      </c>
      <c r="AB32" s="7" t="n">
        <v>3</v>
      </c>
      <c r="AC32" s="7" t="n">
        <v>5</v>
      </c>
      <c r="AD32" s="7" t="n">
        <v>5</v>
      </c>
      <c r="AE32" s="7" t="n">
        <v>4</v>
      </c>
      <c r="AF32" s="7" t="n">
        <v>5</v>
      </c>
      <c r="AG32" s="7" t="n">
        <v>4</v>
      </c>
      <c r="AH32" s="7" t="n">
        <v>5</v>
      </c>
      <c r="AI32" s="7" t="n">
        <v>1</v>
      </c>
      <c r="AJ32" s="9"/>
      <c r="AK32" s="7" t="n">
        <v>3</v>
      </c>
      <c r="AL32" s="7" t="n">
        <v>2</v>
      </c>
      <c r="AM32" s="7" t="n">
        <v>2</v>
      </c>
      <c r="AN32" s="7" t="n">
        <v>2</v>
      </c>
      <c r="AO32" s="16" t="n">
        <f aca="false">MAX(E32:K32)</f>
        <v>4</v>
      </c>
      <c r="AP32" s="17" t="n">
        <f aca="false">AVERAGE(N32:R32)</f>
        <v>3</v>
      </c>
      <c r="AQ32" s="17" t="n">
        <f aca="false">AVERAGE(S32:V32)</f>
        <v>3.5</v>
      </c>
      <c r="AR32" s="17" t="n">
        <f aca="false">AVERAGE(W32,X32,Z32,AB32)</f>
        <v>3.25</v>
      </c>
      <c r="AS32" s="17" t="n">
        <f aca="false">AVERAGE(AC32:AF32)</f>
        <v>4.75</v>
      </c>
      <c r="AT32" s="17" t="n">
        <f aca="false">AVERAGE(Y32,AA32,AG32:AM32)</f>
        <v>2.75</v>
      </c>
      <c r="AU32" s="18" t="n">
        <f aca="false">(AO32+AP32+AQ32+AR32+AS32+(6-AT32))/6</f>
        <v>3.625</v>
      </c>
      <c r="AV32" s="7" t="s">
        <v>1029</v>
      </c>
      <c r="AW32" s="7" t="s">
        <v>1030</v>
      </c>
      <c r="AX32" s="20" t="s">
        <v>1035</v>
      </c>
      <c r="AY32" s="8"/>
    </row>
    <row r="33" customFormat="false" ht="15" hidden="false" customHeight="false" outlineLevel="0" collapsed="false">
      <c r="A33" s="7" t="n">
        <v>310</v>
      </c>
      <c r="B33" s="8" t="s">
        <v>835</v>
      </c>
      <c r="C33" s="8" t="s">
        <v>836</v>
      </c>
      <c r="D33" s="8" t="s">
        <v>814</v>
      </c>
      <c r="E33" s="7" t="n">
        <v>1</v>
      </c>
      <c r="F33" s="7" t="n">
        <v>1</v>
      </c>
      <c r="G33" s="7" t="n">
        <v>1</v>
      </c>
      <c r="H33" s="7" t="n">
        <v>1</v>
      </c>
      <c r="I33" s="7" t="n">
        <v>2</v>
      </c>
      <c r="J33" s="7" t="n">
        <v>1</v>
      </c>
      <c r="K33" s="7" t="n">
        <v>1</v>
      </c>
      <c r="L33" s="7" t="n">
        <v>3</v>
      </c>
      <c r="M33" s="9"/>
      <c r="N33" s="7" t="n">
        <v>4</v>
      </c>
      <c r="O33" s="7" t="n">
        <v>2</v>
      </c>
      <c r="P33" s="7" t="n">
        <v>3</v>
      </c>
      <c r="Q33" s="7" t="n">
        <v>4</v>
      </c>
      <c r="R33" s="7" t="n">
        <v>2</v>
      </c>
      <c r="S33" s="7" t="n">
        <v>2</v>
      </c>
      <c r="T33" s="7" t="n">
        <v>2</v>
      </c>
      <c r="U33" s="7" t="n">
        <v>1</v>
      </c>
      <c r="V33" s="7" t="n">
        <v>3</v>
      </c>
      <c r="W33" s="7" t="n">
        <v>1</v>
      </c>
      <c r="X33" s="7" t="n">
        <v>3</v>
      </c>
      <c r="Y33" s="7" t="n">
        <v>5</v>
      </c>
      <c r="Z33" s="7" t="n">
        <v>1</v>
      </c>
      <c r="AA33" s="7" t="n">
        <v>5</v>
      </c>
      <c r="AB33" s="7" t="n">
        <v>3</v>
      </c>
      <c r="AC33" s="7" t="n">
        <v>2</v>
      </c>
      <c r="AD33" s="7" t="n">
        <v>4</v>
      </c>
      <c r="AE33" s="7" t="n">
        <v>3</v>
      </c>
      <c r="AF33" s="7" t="n">
        <v>3</v>
      </c>
      <c r="AG33" s="7" t="n">
        <v>5</v>
      </c>
      <c r="AH33" s="7" t="n">
        <v>5</v>
      </c>
      <c r="AI33" s="7" t="n">
        <v>5</v>
      </c>
      <c r="AJ33" s="9"/>
      <c r="AK33" s="7" t="n">
        <v>5</v>
      </c>
      <c r="AL33" s="7" t="n">
        <v>3</v>
      </c>
      <c r="AM33" s="7" t="n">
        <v>3</v>
      </c>
      <c r="AN33" s="7" t="n">
        <v>2</v>
      </c>
      <c r="AO33" s="16" t="n">
        <f aca="false">MAX(E33:K33)</f>
        <v>2</v>
      </c>
      <c r="AP33" s="17" t="n">
        <f aca="false">AVERAGE(N33:R33)</f>
        <v>3</v>
      </c>
      <c r="AQ33" s="17" t="n">
        <f aca="false">AVERAGE(S33:V33)</f>
        <v>2</v>
      </c>
      <c r="AR33" s="17" t="n">
        <f aca="false">AVERAGE(W33,X33,Z33,AB33)</f>
        <v>2</v>
      </c>
      <c r="AS33" s="17" t="n">
        <f aca="false">AVERAGE(AC33:AF33)</f>
        <v>3</v>
      </c>
      <c r="AT33" s="17" t="n">
        <f aca="false">AVERAGE(Y33,AA33,AG33:AM33)</f>
        <v>4.5</v>
      </c>
      <c r="AU33" s="18" t="n">
        <f aca="false">(AO33+AP33+AQ33+AR33+AS33+(6-AT33))/6</f>
        <v>2.25</v>
      </c>
      <c r="AV33" s="7" t="s">
        <v>1033</v>
      </c>
      <c r="AW33" s="7" t="s">
        <v>1030</v>
      </c>
      <c r="AX33" s="7" t="n">
        <v>1</v>
      </c>
      <c r="AY33" s="8" t="s">
        <v>1031</v>
      </c>
    </row>
    <row r="34" customFormat="false" ht="22.35" hidden="false" customHeight="false" outlineLevel="0" collapsed="false">
      <c r="A34" s="7" t="n">
        <v>311</v>
      </c>
      <c r="B34" s="8" t="s">
        <v>692</v>
      </c>
      <c r="C34" s="8" t="s">
        <v>693</v>
      </c>
      <c r="D34" s="8" t="s">
        <v>670</v>
      </c>
      <c r="E34" s="7" t="n">
        <v>1</v>
      </c>
      <c r="F34" s="7" t="n">
        <v>1</v>
      </c>
      <c r="G34" s="7" t="n">
        <v>1</v>
      </c>
      <c r="H34" s="7" t="n">
        <v>1</v>
      </c>
      <c r="I34" s="7" t="n">
        <v>1</v>
      </c>
      <c r="J34" s="7" t="n">
        <v>1</v>
      </c>
      <c r="K34" s="7" t="n">
        <v>2</v>
      </c>
      <c r="L34" s="7" t="n">
        <v>3</v>
      </c>
      <c r="M34" s="9"/>
      <c r="N34" s="7" t="n">
        <v>4</v>
      </c>
      <c r="O34" s="7" t="n">
        <v>3</v>
      </c>
      <c r="P34" s="7" t="n">
        <v>4</v>
      </c>
      <c r="Q34" s="7" t="n">
        <v>4</v>
      </c>
      <c r="R34" s="7" t="n">
        <v>3</v>
      </c>
      <c r="S34" s="7" t="n">
        <v>2</v>
      </c>
      <c r="T34" s="7" t="n">
        <v>3</v>
      </c>
      <c r="U34" s="7" t="n">
        <v>4</v>
      </c>
      <c r="V34" s="7" t="n">
        <v>4</v>
      </c>
      <c r="W34" s="19" t="n">
        <v>3</v>
      </c>
      <c r="X34" s="7" t="n">
        <v>3</v>
      </c>
      <c r="Y34" s="7" t="n">
        <v>2</v>
      </c>
      <c r="Z34" s="7" t="n">
        <v>5</v>
      </c>
      <c r="AA34" s="7" t="n">
        <v>3</v>
      </c>
      <c r="AB34" s="7" t="n">
        <v>4</v>
      </c>
      <c r="AC34" s="7" t="n">
        <v>3</v>
      </c>
      <c r="AD34" s="7" t="n">
        <v>2</v>
      </c>
      <c r="AE34" s="7" t="n">
        <v>3</v>
      </c>
      <c r="AF34" s="7" t="n">
        <v>3</v>
      </c>
      <c r="AG34" s="7" t="n">
        <v>3</v>
      </c>
      <c r="AH34" s="7" t="n">
        <v>2</v>
      </c>
      <c r="AI34" s="7" t="n">
        <v>3</v>
      </c>
      <c r="AJ34" s="9"/>
      <c r="AK34" s="7" t="n">
        <v>2</v>
      </c>
      <c r="AL34" s="7" t="n">
        <v>3</v>
      </c>
      <c r="AM34" s="7" t="n">
        <v>1</v>
      </c>
      <c r="AN34" s="7" t="n">
        <v>3</v>
      </c>
      <c r="AO34" s="16" t="n">
        <f aca="false">MAX(E34:K34)</f>
        <v>2</v>
      </c>
      <c r="AP34" s="17" t="n">
        <f aca="false">AVERAGE(N34:R34)</f>
        <v>3.6</v>
      </c>
      <c r="AQ34" s="17" t="n">
        <f aca="false">AVERAGE(S34:V34)</f>
        <v>3.25</v>
      </c>
      <c r="AR34" s="17" t="n">
        <f aca="false">AVERAGE(W34,X34,Z34,AB34)</f>
        <v>3.75</v>
      </c>
      <c r="AS34" s="17" t="n">
        <f aca="false">AVERAGE(AC34:AF34)</f>
        <v>2.75</v>
      </c>
      <c r="AT34" s="17" t="n">
        <f aca="false">AVERAGE(Y34,AA34,AG34:AM34)</f>
        <v>2.375</v>
      </c>
      <c r="AU34" s="18" t="n">
        <f aca="false">(AO34+AP34+AQ34+AR34+AS34+(6-AT34))/6</f>
        <v>3.1625</v>
      </c>
      <c r="AV34" s="7" t="s">
        <v>1029</v>
      </c>
      <c r="AW34" s="7" t="s">
        <v>1033</v>
      </c>
      <c r="AX34" s="20" t="s">
        <v>1035</v>
      </c>
      <c r="AY34" s="8"/>
    </row>
    <row r="35" customFormat="false" ht="22.35" hidden="false" customHeight="false" outlineLevel="0" collapsed="false">
      <c r="A35" s="7" t="n">
        <v>312</v>
      </c>
      <c r="B35" s="8" t="s">
        <v>700</v>
      </c>
      <c r="C35" s="8" t="s">
        <v>701</v>
      </c>
      <c r="D35" s="8" t="s">
        <v>670</v>
      </c>
      <c r="E35" s="7" t="n">
        <v>1</v>
      </c>
      <c r="F35" s="7" t="n">
        <v>1</v>
      </c>
      <c r="G35" s="7" t="n">
        <v>1</v>
      </c>
      <c r="H35" s="7" t="n">
        <v>1</v>
      </c>
      <c r="I35" s="7" t="n">
        <v>1</v>
      </c>
      <c r="J35" s="7" t="n">
        <v>1</v>
      </c>
      <c r="K35" s="7" t="n">
        <v>3</v>
      </c>
      <c r="L35" s="7" t="n">
        <v>3</v>
      </c>
      <c r="M35" s="9"/>
      <c r="N35" s="7" t="n">
        <v>4</v>
      </c>
      <c r="O35" s="7" t="n">
        <v>2</v>
      </c>
      <c r="P35" s="7" t="n">
        <v>4</v>
      </c>
      <c r="Q35" s="7" t="n">
        <v>4</v>
      </c>
      <c r="R35" s="7" t="n">
        <v>4</v>
      </c>
      <c r="S35" s="7" t="n">
        <v>2</v>
      </c>
      <c r="T35" s="7" t="n">
        <v>3</v>
      </c>
      <c r="U35" s="7" t="n">
        <v>3</v>
      </c>
      <c r="V35" s="7" t="n">
        <v>3</v>
      </c>
      <c r="W35" s="19" t="n">
        <v>3</v>
      </c>
      <c r="X35" s="7" t="n">
        <v>3</v>
      </c>
      <c r="Y35" s="7" t="n">
        <v>1</v>
      </c>
      <c r="Z35" s="7" t="n">
        <v>4</v>
      </c>
      <c r="AA35" s="7" t="n">
        <v>3</v>
      </c>
      <c r="AB35" s="7" t="n">
        <v>4</v>
      </c>
      <c r="AC35" s="7" t="n">
        <v>3</v>
      </c>
      <c r="AD35" s="7" t="n">
        <v>3</v>
      </c>
      <c r="AE35" s="7" t="n">
        <v>3</v>
      </c>
      <c r="AF35" s="7" t="n">
        <v>4</v>
      </c>
      <c r="AG35" s="7" t="n">
        <v>3</v>
      </c>
      <c r="AH35" s="7" t="n">
        <v>3</v>
      </c>
      <c r="AI35" s="7" t="n">
        <v>3</v>
      </c>
      <c r="AJ35" s="9"/>
      <c r="AK35" s="7" t="n">
        <v>2</v>
      </c>
      <c r="AL35" s="7" t="n">
        <v>3</v>
      </c>
      <c r="AM35" s="7" t="n">
        <v>1</v>
      </c>
      <c r="AN35" s="7" t="n">
        <v>2</v>
      </c>
      <c r="AO35" s="16" t="n">
        <f aca="false">MAX(E35:K35)</f>
        <v>3</v>
      </c>
      <c r="AP35" s="17" t="n">
        <f aca="false">AVERAGE(N35:R35)</f>
        <v>3.6</v>
      </c>
      <c r="AQ35" s="17" t="n">
        <f aca="false">AVERAGE(S35:V35)</f>
        <v>2.75</v>
      </c>
      <c r="AR35" s="17" t="n">
        <f aca="false">AVERAGE(W35,X35,Z35,AB35)</f>
        <v>3.5</v>
      </c>
      <c r="AS35" s="17" t="n">
        <f aca="false">AVERAGE(AC35:AF35)</f>
        <v>3.25</v>
      </c>
      <c r="AT35" s="17" t="n">
        <f aca="false">AVERAGE(Y35,AA35,AG35:AM35)</f>
        <v>2.375</v>
      </c>
      <c r="AU35" s="18" t="n">
        <f aca="false">(AO35+AP35+AQ35+AR35+AS35+(6-AT35))/6</f>
        <v>3.2875</v>
      </c>
      <c r="AV35" s="7" t="s">
        <v>1029</v>
      </c>
      <c r="AW35" s="7" t="s">
        <v>1030</v>
      </c>
      <c r="AX35" s="20" t="s">
        <v>1035</v>
      </c>
      <c r="AY35" s="8"/>
    </row>
    <row r="36" customFormat="false" ht="15" hidden="false" customHeight="false" outlineLevel="0" collapsed="false">
      <c r="A36" s="7" t="n">
        <v>313</v>
      </c>
      <c r="B36" s="8" t="s">
        <v>751</v>
      </c>
      <c r="C36" s="8" t="s">
        <v>752</v>
      </c>
      <c r="D36" s="8" t="s">
        <v>737</v>
      </c>
      <c r="E36" s="7" t="n">
        <v>1</v>
      </c>
      <c r="F36" s="7" t="n">
        <v>1</v>
      </c>
      <c r="G36" s="7" t="n">
        <v>1</v>
      </c>
      <c r="H36" s="7" t="n">
        <v>1</v>
      </c>
      <c r="I36" s="7" t="n">
        <v>1</v>
      </c>
      <c r="J36" s="7" t="n">
        <v>1</v>
      </c>
      <c r="K36" s="7" t="n">
        <v>1</v>
      </c>
      <c r="L36" s="7" t="n">
        <v>3</v>
      </c>
      <c r="M36" s="9"/>
      <c r="N36" s="7" t="n">
        <v>5</v>
      </c>
      <c r="O36" s="7" t="n">
        <v>2</v>
      </c>
      <c r="P36" s="7" t="n">
        <v>3</v>
      </c>
      <c r="Q36" s="7" t="n">
        <v>4</v>
      </c>
      <c r="R36" s="7" t="n">
        <v>4</v>
      </c>
      <c r="S36" s="7" t="n">
        <v>2</v>
      </c>
      <c r="T36" s="7" t="n">
        <v>3</v>
      </c>
      <c r="U36" s="7" t="n">
        <v>5</v>
      </c>
      <c r="V36" s="7" t="n">
        <v>4</v>
      </c>
      <c r="W36" s="19" t="n">
        <v>3</v>
      </c>
      <c r="X36" s="7" t="n">
        <v>5</v>
      </c>
      <c r="Y36" s="7" t="n">
        <v>1</v>
      </c>
      <c r="Z36" s="7" t="n">
        <v>2</v>
      </c>
      <c r="AA36" s="7" t="n">
        <v>3</v>
      </c>
      <c r="AB36" s="7" t="n">
        <v>3</v>
      </c>
      <c r="AC36" s="7" t="n">
        <v>3</v>
      </c>
      <c r="AD36" s="7" t="n">
        <v>4</v>
      </c>
      <c r="AE36" s="7" t="n">
        <v>4</v>
      </c>
      <c r="AF36" s="7" t="n">
        <v>3</v>
      </c>
      <c r="AG36" s="7" t="n">
        <v>3</v>
      </c>
      <c r="AH36" s="7" t="n">
        <v>4</v>
      </c>
      <c r="AI36" s="7" t="n">
        <v>1</v>
      </c>
      <c r="AJ36" s="9"/>
      <c r="AK36" s="7" t="n">
        <v>3</v>
      </c>
      <c r="AL36" s="7" t="n">
        <v>3</v>
      </c>
      <c r="AM36" s="7" t="n">
        <v>1</v>
      </c>
      <c r="AN36" s="7" t="n">
        <v>3</v>
      </c>
      <c r="AO36" s="16" t="n">
        <f aca="false">MAX(E36:K36)</f>
        <v>1</v>
      </c>
      <c r="AP36" s="17" t="n">
        <f aca="false">AVERAGE(N36:R36)</f>
        <v>3.6</v>
      </c>
      <c r="AQ36" s="17" t="n">
        <f aca="false">AVERAGE(S36:V36)</f>
        <v>3.5</v>
      </c>
      <c r="AR36" s="17" t="n">
        <f aca="false">AVERAGE(W36,X36,Z36,AB36)</f>
        <v>3.25</v>
      </c>
      <c r="AS36" s="17" t="n">
        <f aca="false">AVERAGE(AC36:AF36)</f>
        <v>3.5</v>
      </c>
      <c r="AT36" s="17" t="n">
        <f aca="false">AVERAGE(Y36,AA36,AG36:AM36)</f>
        <v>2.375</v>
      </c>
      <c r="AU36" s="18" t="n">
        <f aca="false">(AO36+AP36+AQ36+AR36+AS36+(6-AT36))/6</f>
        <v>3.07916666666667</v>
      </c>
      <c r="AV36" s="7" t="s">
        <v>1029</v>
      </c>
      <c r="AW36" s="7" t="s">
        <v>1030</v>
      </c>
      <c r="AX36" s="20" t="s">
        <v>1035</v>
      </c>
      <c r="AY36" s="8"/>
    </row>
    <row r="37" customFormat="false" ht="22.35" hidden="false" customHeight="false" outlineLevel="0" collapsed="false">
      <c r="A37" s="7" t="n">
        <v>314</v>
      </c>
      <c r="B37" s="8" t="s">
        <v>342</v>
      </c>
      <c r="C37" s="8" t="s">
        <v>399</v>
      </c>
      <c r="D37" s="8" t="s">
        <v>378</v>
      </c>
      <c r="E37" s="7" t="n">
        <v>1</v>
      </c>
      <c r="F37" s="7" t="n">
        <v>1</v>
      </c>
      <c r="G37" s="7" t="n">
        <v>1</v>
      </c>
      <c r="H37" s="7" t="n">
        <v>2</v>
      </c>
      <c r="I37" s="7" t="n">
        <v>2</v>
      </c>
      <c r="J37" s="7" t="n">
        <v>1</v>
      </c>
      <c r="K37" s="7" t="n">
        <v>1</v>
      </c>
      <c r="L37" s="7" t="n">
        <v>4</v>
      </c>
      <c r="M37" s="9"/>
      <c r="N37" s="7" t="n">
        <v>3</v>
      </c>
      <c r="O37" s="7" t="n">
        <v>3</v>
      </c>
      <c r="P37" s="7" t="n">
        <v>3</v>
      </c>
      <c r="Q37" s="7" t="n">
        <v>4</v>
      </c>
      <c r="R37" s="7" t="n">
        <v>4</v>
      </c>
      <c r="S37" s="7" t="n">
        <v>4</v>
      </c>
      <c r="T37" s="7" t="n">
        <v>3</v>
      </c>
      <c r="U37" s="7" t="n">
        <v>5</v>
      </c>
      <c r="V37" s="7" t="n">
        <v>5</v>
      </c>
      <c r="W37" s="19" t="n">
        <v>3</v>
      </c>
      <c r="X37" s="7" t="n">
        <v>5</v>
      </c>
      <c r="Y37" s="7" t="n">
        <v>1</v>
      </c>
      <c r="Z37" s="7" t="n">
        <v>3</v>
      </c>
      <c r="AA37" s="7" t="n">
        <v>3</v>
      </c>
      <c r="AB37" s="7" t="n">
        <v>3</v>
      </c>
      <c r="AC37" s="7" t="n">
        <v>4</v>
      </c>
      <c r="AD37" s="7" t="n">
        <v>5</v>
      </c>
      <c r="AE37" s="7" t="n">
        <v>5</v>
      </c>
      <c r="AF37" s="7" t="n">
        <v>4</v>
      </c>
      <c r="AG37" s="7" t="n">
        <v>3</v>
      </c>
      <c r="AH37" s="7" t="n">
        <v>3</v>
      </c>
      <c r="AI37" s="7" t="n">
        <v>1</v>
      </c>
      <c r="AJ37" s="9"/>
      <c r="AK37" s="7" t="n">
        <v>2</v>
      </c>
      <c r="AL37" s="7" t="n">
        <v>2</v>
      </c>
      <c r="AM37" s="7" t="n">
        <v>1</v>
      </c>
      <c r="AN37" s="7" t="n">
        <v>3</v>
      </c>
      <c r="AO37" s="16" t="n">
        <f aca="false">MAX(E37:K37)</f>
        <v>2</v>
      </c>
      <c r="AP37" s="17" t="n">
        <f aca="false">AVERAGE(N37:R37)</f>
        <v>3.4</v>
      </c>
      <c r="AQ37" s="17" t="n">
        <f aca="false">AVERAGE(S37:V37)</f>
        <v>4.25</v>
      </c>
      <c r="AR37" s="17" t="n">
        <f aca="false">AVERAGE(W37,X37,Z37,AB37)</f>
        <v>3.5</v>
      </c>
      <c r="AS37" s="17" t="n">
        <f aca="false">AVERAGE(AC37:AF37)</f>
        <v>4.5</v>
      </c>
      <c r="AT37" s="17" t="n">
        <f aca="false">AVERAGE(Y37,AA37,AG37:AM37)</f>
        <v>2</v>
      </c>
      <c r="AU37" s="18" t="n">
        <f aca="false">(AO37+AP37+AQ37+AR37+AS37+(6-AT37))/6</f>
        <v>3.60833333333333</v>
      </c>
      <c r="AV37" s="7" t="s">
        <v>1029</v>
      </c>
      <c r="AW37" s="7" t="s">
        <v>1030</v>
      </c>
      <c r="AX37" s="20" t="s">
        <v>1035</v>
      </c>
      <c r="AY37" s="8"/>
    </row>
    <row r="38" customFormat="false" ht="22.35" hidden="false" customHeight="false" outlineLevel="0" collapsed="false">
      <c r="A38" s="7" t="n">
        <v>315</v>
      </c>
      <c r="B38" s="8" t="s">
        <v>342</v>
      </c>
      <c r="C38" s="8" t="s">
        <v>759</v>
      </c>
      <c r="D38" s="8" t="s">
        <v>737</v>
      </c>
      <c r="E38" s="7" t="n">
        <v>1</v>
      </c>
      <c r="F38" s="7" t="n">
        <v>1</v>
      </c>
      <c r="G38" s="7" t="n">
        <v>1</v>
      </c>
      <c r="H38" s="7" t="n">
        <v>2</v>
      </c>
      <c r="I38" s="7" t="n">
        <v>2</v>
      </c>
      <c r="J38" s="7" t="n">
        <v>1</v>
      </c>
      <c r="K38" s="7" t="n">
        <v>1</v>
      </c>
      <c r="L38" s="7" t="n">
        <v>4</v>
      </c>
      <c r="M38" s="9"/>
      <c r="N38" s="7" t="n">
        <v>3</v>
      </c>
      <c r="O38" s="7" t="n">
        <v>3</v>
      </c>
      <c r="P38" s="7" t="n">
        <v>3</v>
      </c>
      <c r="Q38" s="7" t="n">
        <v>4</v>
      </c>
      <c r="R38" s="7" t="n">
        <v>5</v>
      </c>
      <c r="S38" s="7" t="n">
        <v>4</v>
      </c>
      <c r="T38" s="7" t="n">
        <v>3</v>
      </c>
      <c r="U38" s="7" t="n">
        <v>5</v>
      </c>
      <c r="V38" s="7" t="n">
        <v>5</v>
      </c>
      <c r="W38" s="19" t="n">
        <v>3</v>
      </c>
      <c r="X38" s="7" t="n">
        <v>5</v>
      </c>
      <c r="Y38" s="7" t="n">
        <v>1</v>
      </c>
      <c r="Z38" s="7" t="n">
        <v>3</v>
      </c>
      <c r="AA38" s="7" t="n">
        <v>3</v>
      </c>
      <c r="AB38" s="7" t="n">
        <v>3</v>
      </c>
      <c r="AC38" s="7" t="n">
        <v>4</v>
      </c>
      <c r="AD38" s="7" t="n">
        <v>4</v>
      </c>
      <c r="AE38" s="7" t="n">
        <v>5</v>
      </c>
      <c r="AF38" s="7" t="n">
        <v>5</v>
      </c>
      <c r="AG38" s="7" t="n">
        <v>3</v>
      </c>
      <c r="AH38" s="7" t="n">
        <v>3</v>
      </c>
      <c r="AI38" s="7" t="n">
        <v>2</v>
      </c>
      <c r="AJ38" s="9"/>
      <c r="AK38" s="7" t="n">
        <v>2</v>
      </c>
      <c r="AL38" s="7" t="n">
        <v>2</v>
      </c>
      <c r="AM38" s="7" t="n">
        <v>1</v>
      </c>
      <c r="AN38" s="7" t="n">
        <v>3</v>
      </c>
      <c r="AO38" s="16" t="n">
        <f aca="false">MAX(E38:K38)</f>
        <v>2</v>
      </c>
      <c r="AP38" s="17" t="n">
        <f aca="false">AVERAGE(N38:R38)</f>
        <v>3.6</v>
      </c>
      <c r="AQ38" s="17" t="n">
        <f aca="false">AVERAGE(S38:V38)</f>
        <v>4.25</v>
      </c>
      <c r="AR38" s="17" t="n">
        <f aca="false">AVERAGE(W38,X38,Z38,AB38)</f>
        <v>3.5</v>
      </c>
      <c r="AS38" s="17" t="n">
        <f aca="false">AVERAGE(AC38:AF38)</f>
        <v>4.5</v>
      </c>
      <c r="AT38" s="17" t="n">
        <f aca="false">AVERAGE(Y38,AA38,AG38:AM38)</f>
        <v>2.125</v>
      </c>
      <c r="AU38" s="18" t="n">
        <f aca="false">(AO38+AP38+AQ38+AR38+AS38+(6-AT38))/6</f>
        <v>3.62083333333333</v>
      </c>
      <c r="AV38" s="7" t="s">
        <v>1029</v>
      </c>
      <c r="AW38" s="7" t="s">
        <v>1030</v>
      </c>
      <c r="AX38" s="20" t="s">
        <v>1035</v>
      </c>
      <c r="AY38" s="8"/>
    </row>
    <row r="39" customFormat="false" ht="15" hidden="false" customHeight="false" outlineLevel="0" collapsed="false">
      <c r="A39" s="7" t="n">
        <v>316</v>
      </c>
      <c r="B39" s="8" t="s">
        <v>342</v>
      </c>
      <c r="C39" s="8" t="s">
        <v>844</v>
      </c>
      <c r="D39" s="8" t="s">
        <v>814</v>
      </c>
      <c r="E39" s="7" t="n">
        <v>1</v>
      </c>
      <c r="F39" s="7" t="n">
        <v>1</v>
      </c>
      <c r="G39" s="7" t="n">
        <v>1</v>
      </c>
      <c r="H39" s="7" t="n">
        <v>2</v>
      </c>
      <c r="I39" s="7" t="n">
        <v>2</v>
      </c>
      <c r="J39" s="7" t="n">
        <v>1</v>
      </c>
      <c r="K39" s="7" t="n">
        <v>1</v>
      </c>
      <c r="L39" s="7" t="n">
        <v>4</v>
      </c>
      <c r="M39" s="9"/>
      <c r="N39" s="7" t="n">
        <v>3</v>
      </c>
      <c r="O39" s="7" t="n">
        <v>3</v>
      </c>
      <c r="P39" s="7" t="n">
        <v>3</v>
      </c>
      <c r="Q39" s="7" t="n">
        <v>4</v>
      </c>
      <c r="R39" s="7" t="n">
        <v>5</v>
      </c>
      <c r="S39" s="7" t="n">
        <v>4</v>
      </c>
      <c r="T39" s="7" t="n">
        <v>3</v>
      </c>
      <c r="U39" s="7" t="n">
        <v>5</v>
      </c>
      <c r="V39" s="7" t="n">
        <v>5</v>
      </c>
      <c r="W39" s="19" t="n">
        <v>3</v>
      </c>
      <c r="X39" s="7" t="n">
        <v>5</v>
      </c>
      <c r="Y39" s="7" t="n">
        <v>1</v>
      </c>
      <c r="Z39" s="7" t="n">
        <v>3</v>
      </c>
      <c r="AA39" s="7" t="n">
        <v>3</v>
      </c>
      <c r="AB39" s="7" t="n">
        <v>3</v>
      </c>
      <c r="AC39" s="7" t="n">
        <v>5</v>
      </c>
      <c r="AD39" s="7" t="n">
        <v>5</v>
      </c>
      <c r="AE39" s="7" t="n">
        <v>5</v>
      </c>
      <c r="AF39" s="7" t="n">
        <v>5</v>
      </c>
      <c r="AG39" s="7" t="n">
        <v>3</v>
      </c>
      <c r="AH39" s="7" t="n">
        <v>4</v>
      </c>
      <c r="AI39" s="7" t="n">
        <v>2</v>
      </c>
      <c r="AJ39" s="9"/>
      <c r="AK39" s="7" t="n">
        <v>2</v>
      </c>
      <c r="AL39" s="7" t="n">
        <v>2</v>
      </c>
      <c r="AM39" s="7" t="n">
        <v>1</v>
      </c>
      <c r="AN39" s="7" t="n">
        <v>2</v>
      </c>
      <c r="AO39" s="16" t="n">
        <f aca="false">MAX(E39:K39)</f>
        <v>2</v>
      </c>
      <c r="AP39" s="17" t="n">
        <f aca="false">AVERAGE(N39:R39)</f>
        <v>3.6</v>
      </c>
      <c r="AQ39" s="17" t="n">
        <f aca="false">AVERAGE(S39:V39)</f>
        <v>4.25</v>
      </c>
      <c r="AR39" s="17" t="n">
        <f aca="false">AVERAGE(W39,X39,Z39,AB39)</f>
        <v>3.5</v>
      </c>
      <c r="AS39" s="17" t="n">
        <f aca="false">AVERAGE(AC39:AF39)</f>
        <v>5</v>
      </c>
      <c r="AT39" s="17" t="n">
        <f aca="false">AVERAGE(Y39,AA39,AG39:AM39)</f>
        <v>2.25</v>
      </c>
      <c r="AU39" s="18" t="n">
        <f aca="false">(AO39+AP39+AQ39+AR39+AS39+(6-AT39))/6</f>
        <v>3.68333333333333</v>
      </c>
      <c r="AV39" s="7" t="s">
        <v>1029</v>
      </c>
      <c r="AW39" s="7" t="s">
        <v>1030</v>
      </c>
      <c r="AX39" s="20" t="s">
        <v>1035</v>
      </c>
      <c r="AY39" s="8"/>
    </row>
    <row r="40" customFormat="false" ht="22.35" hidden="false" customHeight="false" outlineLevel="0" collapsed="false">
      <c r="A40" s="7" t="n">
        <v>317</v>
      </c>
      <c r="B40" s="8" t="s">
        <v>426</v>
      </c>
      <c r="C40" s="8" t="s">
        <v>707</v>
      </c>
      <c r="D40" s="8" t="s">
        <v>670</v>
      </c>
      <c r="E40" s="7" t="n">
        <v>1</v>
      </c>
      <c r="F40" s="7" t="n">
        <v>1</v>
      </c>
      <c r="G40" s="7" t="n">
        <v>1</v>
      </c>
      <c r="H40" s="7" t="n">
        <v>1</v>
      </c>
      <c r="I40" s="7" t="n">
        <v>1</v>
      </c>
      <c r="J40" s="7" t="n">
        <v>1</v>
      </c>
      <c r="K40" s="7" t="n">
        <v>2</v>
      </c>
      <c r="L40" s="7" t="n">
        <v>4</v>
      </c>
      <c r="M40" s="9"/>
      <c r="N40" s="7" t="n">
        <v>4</v>
      </c>
      <c r="O40" s="7" t="n">
        <v>3</v>
      </c>
      <c r="P40" s="7" t="n">
        <v>4</v>
      </c>
      <c r="Q40" s="7" t="n">
        <v>4</v>
      </c>
      <c r="R40" s="7" t="n">
        <v>5</v>
      </c>
      <c r="S40" s="7" t="n">
        <v>2</v>
      </c>
      <c r="T40" s="7" t="n">
        <v>3</v>
      </c>
      <c r="U40" s="7" t="n">
        <v>4</v>
      </c>
      <c r="V40" s="7" t="n">
        <v>4</v>
      </c>
      <c r="W40" s="19" t="n">
        <v>3</v>
      </c>
      <c r="X40" s="7" t="n">
        <v>4</v>
      </c>
      <c r="Y40" s="7" t="n">
        <v>3</v>
      </c>
      <c r="Z40" s="7" t="n">
        <v>3</v>
      </c>
      <c r="AA40" s="7" t="n">
        <v>3</v>
      </c>
      <c r="AB40" s="7" t="n">
        <v>4</v>
      </c>
      <c r="AC40" s="7" t="n">
        <v>2</v>
      </c>
      <c r="AD40" s="7" t="n">
        <v>3</v>
      </c>
      <c r="AE40" s="7" t="n">
        <v>5</v>
      </c>
      <c r="AF40" s="7" t="n">
        <v>4</v>
      </c>
      <c r="AG40" s="7" t="n">
        <v>4</v>
      </c>
      <c r="AH40" s="7" t="n">
        <v>3</v>
      </c>
      <c r="AI40" s="7" t="n">
        <v>4</v>
      </c>
      <c r="AJ40" s="9"/>
      <c r="AK40" s="7" t="n">
        <v>3</v>
      </c>
      <c r="AL40" s="7" t="n">
        <v>2</v>
      </c>
      <c r="AM40" s="7" t="n">
        <v>1</v>
      </c>
      <c r="AN40" s="7" t="n">
        <v>2</v>
      </c>
      <c r="AO40" s="16" t="n">
        <f aca="false">MAX(E40:K40)</f>
        <v>2</v>
      </c>
      <c r="AP40" s="17" t="n">
        <f aca="false">AVERAGE(N40:R40)</f>
        <v>4</v>
      </c>
      <c r="AQ40" s="17" t="n">
        <f aca="false">AVERAGE(S40:V40)</f>
        <v>3.25</v>
      </c>
      <c r="AR40" s="17" t="n">
        <f aca="false">AVERAGE(W40,X40,Z40,AB40)</f>
        <v>3.5</v>
      </c>
      <c r="AS40" s="17" t="n">
        <f aca="false">AVERAGE(AC40:AF40)</f>
        <v>3.5</v>
      </c>
      <c r="AT40" s="17" t="n">
        <f aca="false">AVERAGE(Y40,AA40,AG40:AM40)</f>
        <v>2.875</v>
      </c>
      <c r="AU40" s="18" t="n">
        <f aca="false">(AO40+AP40+AQ40+AR40+AS40+(6-AT40))/6</f>
        <v>3.22916666666667</v>
      </c>
      <c r="AV40" s="7" t="s">
        <v>1029</v>
      </c>
      <c r="AW40" s="7" t="s">
        <v>1033</v>
      </c>
      <c r="AX40" s="20" t="s">
        <v>1035</v>
      </c>
      <c r="AY40" s="8"/>
    </row>
    <row r="41" customFormat="false" ht="22.35" hidden="false" customHeight="false" outlineLevel="0" collapsed="false">
      <c r="A41" s="7" t="n">
        <v>318</v>
      </c>
      <c r="B41" s="8" t="s">
        <v>714</v>
      </c>
      <c r="C41" s="8" t="s">
        <v>715</v>
      </c>
      <c r="D41" s="8" t="s">
        <v>670</v>
      </c>
      <c r="E41" s="7" t="n">
        <v>1</v>
      </c>
      <c r="F41" s="7" t="n">
        <v>1</v>
      </c>
      <c r="G41" s="7" t="n">
        <v>1</v>
      </c>
      <c r="H41" s="7" t="n">
        <v>1</v>
      </c>
      <c r="I41" s="7" t="n">
        <v>1</v>
      </c>
      <c r="J41" s="7" t="n">
        <v>1</v>
      </c>
      <c r="K41" s="7" t="n">
        <v>2</v>
      </c>
      <c r="L41" s="7" t="n">
        <v>3</v>
      </c>
      <c r="M41" s="9"/>
      <c r="N41" s="7" t="n">
        <v>3</v>
      </c>
      <c r="O41" s="7" t="n">
        <v>2</v>
      </c>
      <c r="P41" s="7" t="n">
        <v>4</v>
      </c>
      <c r="Q41" s="7" t="n">
        <v>5</v>
      </c>
      <c r="R41" s="7" t="n">
        <v>4</v>
      </c>
      <c r="S41" s="7" t="n">
        <v>2</v>
      </c>
      <c r="T41" s="7" t="n">
        <v>3</v>
      </c>
      <c r="U41" s="7" t="n">
        <v>2</v>
      </c>
      <c r="V41" s="7" t="n">
        <v>4</v>
      </c>
      <c r="W41" s="19" t="n">
        <v>3</v>
      </c>
      <c r="X41" s="7" t="n">
        <v>3</v>
      </c>
      <c r="Y41" s="7" t="n">
        <v>2</v>
      </c>
      <c r="Z41" s="7" t="n">
        <v>4</v>
      </c>
      <c r="AA41" s="7" t="n">
        <v>3</v>
      </c>
      <c r="AB41" s="7" t="n">
        <v>3</v>
      </c>
      <c r="AC41" s="7" t="n">
        <v>3</v>
      </c>
      <c r="AD41" s="7" t="n">
        <v>3</v>
      </c>
      <c r="AE41" s="7" t="n">
        <v>4</v>
      </c>
      <c r="AF41" s="7" t="n">
        <v>4</v>
      </c>
      <c r="AG41" s="7" t="n">
        <v>3</v>
      </c>
      <c r="AH41" s="7" t="n">
        <v>3</v>
      </c>
      <c r="AI41" s="7" t="n">
        <v>4</v>
      </c>
      <c r="AJ41" s="9"/>
      <c r="AK41" s="7" t="n">
        <v>2</v>
      </c>
      <c r="AL41" s="7" t="n">
        <v>3</v>
      </c>
      <c r="AM41" s="7" t="n">
        <v>1</v>
      </c>
      <c r="AN41" s="7" t="n">
        <v>2</v>
      </c>
      <c r="AO41" s="16" t="n">
        <f aca="false">MAX(E41:K41)</f>
        <v>2</v>
      </c>
      <c r="AP41" s="17" t="n">
        <f aca="false">AVERAGE(N41:R41)</f>
        <v>3.6</v>
      </c>
      <c r="AQ41" s="17" t="n">
        <f aca="false">AVERAGE(S41:V41)</f>
        <v>2.75</v>
      </c>
      <c r="AR41" s="17" t="n">
        <f aca="false">AVERAGE(W41,X41,Z41,AB41)</f>
        <v>3.25</v>
      </c>
      <c r="AS41" s="17" t="n">
        <f aca="false">AVERAGE(AC41:AF41)</f>
        <v>3.5</v>
      </c>
      <c r="AT41" s="17" t="n">
        <f aca="false">AVERAGE(Y41,AA41,AG41:AM41)</f>
        <v>2.625</v>
      </c>
      <c r="AU41" s="18" t="n">
        <f aca="false">(AO41+AP41+AQ41+AR41+AS41+(6-AT41))/6</f>
        <v>3.07916666666667</v>
      </c>
      <c r="AV41" s="7" t="s">
        <v>1029</v>
      </c>
      <c r="AW41" s="7" t="s">
        <v>1030</v>
      </c>
      <c r="AX41" s="20" t="s">
        <v>1035</v>
      </c>
      <c r="AY41" s="8"/>
    </row>
    <row r="42" customFormat="false" ht="22.35" hidden="false" customHeight="false" outlineLevel="0" collapsed="false">
      <c r="A42" s="7" t="n">
        <v>319</v>
      </c>
      <c r="B42" s="8" t="s">
        <v>426</v>
      </c>
      <c r="C42" s="8" t="s">
        <v>931</v>
      </c>
      <c r="D42" s="8" t="s">
        <v>915</v>
      </c>
      <c r="E42" s="7" t="n">
        <v>1</v>
      </c>
      <c r="F42" s="7" t="n">
        <v>1</v>
      </c>
      <c r="G42" s="7" t="n">
        <v>1</v>
      </c>
      <c r="H42" s="7" t="n">
        <v>1</v>
      </c>
      <c r="I42" s="7" t="n">
        <v>1</v>
      </c>
      <c r="J42" s="7" t="n">
        <v>1</v>
      </c>
      <c r="K42" s="7" t="n">
        <v>1</v>
      </c>
      <c r="L42" s="7" t="n">
        <v>3</v>
      </c>
      <c r="M42" s="9"/>
      <c r="N42" s="7" t="n">
        <v>4</v>
      </c>
      <c r="O42" s="7" t="n">
        <v>3</v>
      </c>
      <c r="P42" s="7" t="n">
        <v>4</v>
      </c>
      <c r="Q42" s="7" t="n">
        <v>3</v>
      </c>
      <c r="R42" s="7" t="n">
        <v>4</v>
      </c>
      <c r="S42" s="7" t="n">
        <v>2</v>
      </c>
      <c r="T42" s="7" t="n">
        <v>3</v>
      </c>
      <c r="U42" s="7" t="n">
        <v>5</v>
      </c>
      <c r="V42" s="7" t="n">
        <v>3</v>
      </c>
      <c r="W42" s="19" t="n">
        <v>3</v>
      </c>
      <c r="X42" s="7" t="n">
        <v>4</v>
      </c>
      <c r="Y42" s="7" t="n">
        <v>1</v>
      </c>
      <c r="Z42" s="7" t="n">
        <v>2</v>
      </c>
      <c r="AA42" s="7" t="n">
        <v>2</v>
      </c>
      <c r="AB42" s="7" t="n">
        <v>4</v>
      </c>
      <c r="AC42" s="7" t="n">
        <v>3</v>
      </c>
      <c r="AD42" s="7" t="n">
        <v>4</v>
      </c>
      <c r="AE42" s="7" t="n">
        <v>3</v>
      </c>
      <c r="AF42" s="7" t="n">
        <v>4</v>
      </c>
      <c r="AG42" s="7" t="n">
        <v>3</v>
      </c>
      <c r="AH42" s="7" t="n">
        <v>3</v>
      </c>
      <c r="AI42" s="7" t="n">
        <v>2</v>
      </c>
      <c r="AJ42" s="9"/>
      <c r="AK42" s="7" t="n">
        <v>1</v>
      </c>
      <c r="AL42" s="7" t="n">
        <v>3</v>
      </c>
      <c r="AM42" s="7" t="n">
        <v>1</v>
      </c>
      <c r="AN42" s="7" t="n">
        <v>1</v>
      </c>
      <c r="AO42" s="16" t="n">
        <f aca="false">MAX(E42:K42)</f>
        <v>1</v>
      </c>
      <c r="AP42" s="17" t="n">
        <f aca="false">AVERAGE(N42:R42)</f>
        <v>3.6</v>
      </c>
      <c r="AQ42" s="17" t="n">
        <f aca="false">AVERAGE(S42:V42)</f>
        <v>3.25</v>
      </c>
      <c r="AR42" s="17" t="n">
        <f aca="false">AVERAGE(W42,X42,Z42,AB42)</f>
        <v>3.25</v>
      </c>
      <c r="AS42" s="17" t="n">
        <f aca="false">AVERAGE(AC42:AF42)</f>
        <v>3.5</v>
      </c>
      <c r="AT42" s="17" t="n">
        <f aca="false">AVERAGE(Y42,AA42,AG42:AM42)</f>
        <v>2</v>
      </c>
      <c r="AU42" s="18" t="n">
        <f aca="false">(AO42+AP42+AQ42+AR42+AS42+(6-AT42))/6</f>
        <v>3.1</v>
      </c>
      <c r="AV42" s="7" t="s">
        <v>1029</v>
      </c>
      <c r="AW42" s="7" t="s">
        <v>1033</v>
      </c>
      <c r="AX42" s="20" t="s">
        <v>1035</v>
      </c>
      <c r="AY42" s="8"/>
    </row>
    <row r="43" customFormat="false" ht="22.35" hidden="false" customHeight="false" outlineLevel="0" collapsed="false">
      <c r="A43" s="7" t="n">
        <v>320</v>
      </c>
      <c r="B43" s="8" t="s">
        <v>426</v>
      </c>
      <c r="C43" s="8" t="s">
        <v>937</v>
      </c>
      <c r="D43" s="8" t="s">
        <v>915</v>
      </c>
      <c r="E43" s="7" t="n">
        <v>1</v>
      </c>
      <c r="F43" s="7" t="n">
        <v>1</v>
      </c>
      <c r="G43" s="7" t="n">
        <v>2</v>
      </c>
      <c r="H43" s="7" t="n">
        <v>1</v>
      </c>
      <c r="I43" s="7" t="n">
        <v>1</v>
      </c>
      <c r="J43" s="7" t="n">
        <v>1</v>
      </c>
      <c r="K43" s="7" t="n">
        <v>1</v>
      </c>
      <c r="L43" s="7" t="n">
        <v>3</v>
      </c>
      <c r="M43" s="9"/>
      <c r="N43" s="7" t="n">
        <v>4</v>
      </c>
      <c r="O43" s="7" t="n">
        <v>3</v>
      </c>
      <c r="P43" s="7" t="n">
        <v>4</v>
      </c>
      <c r="Q43" s="7" t="n">
        <v>4</v>
      </c>
      <c r="R43" s="7" t="n">
        <v>4</v>
      </c>
      <c r="S43" s="7" t="n">
        <v>2</v>
      </c>
      <c r="T43" s="7" t="n">
        <v>3</v>
      </c>
      <c r="U43" s="7" t="n">
        <v>5</v>
      </c>
      <c r="V43" s="7" t="n">
        <v>3</v>
      </c>
      <c r="W43" s="19" t="n">
        <v>3</v>
      </c>
      <c r="X43" s="7" t="n">
        <v>4</v>
      </c>
      <c r="Y43" s="7" t="n">
        <v>1</v>
      </c>
      <c r="Z43" s="7" t="n">
        <v>2</v>
      </c>
      <c r="AA43" s="7" t="n">
        <v>2</v>
      </c>
      <c r="AB43" s="7" t="n">
        <v>4</v>
      </c>
      <c r="AC43" s="7" t="n">
        <v>3</v>
      </c>
      <c r="AD43" s="7" t="n">
        <v>3</v>
      </c>
      <c r="AE43" s="7" t="n">
        <v>3</v>
      </c>
      <c r="AF43" s="7" t="n">
        <v>4</v>
      </c>
      <c r="AG43" s="7" t="n">
        <v>3</v>
      </c>
      <c r="AH43" s="7" t="n">
        <v>3</v>
      </c>
      <c r="AI43" s="7" t="n">
        <v>2</v>
      </c>
      <c r="AJ43" s="9"/>
      <c r="AK43" s="7" t="n">
        <v>1</v>
      </c>
      <c r="AL43" s="7" t="n">
        <v>3</v>
      </c>
      <c r="AM43" s="7" t="n">
        <v>1</v>
      </c>
      <c r="AN43" s="7" t="n">
        <v>1</v>
      </c>
      <c r="AO43" s="16" t="n">
        <f aca="false">MAX(E43:K43)</f>
        <v>2</v>
      </c>
      <c r="AP43" s="17" t="n">
        <f aca="false">AVERAGE(N43:R43)</f>
        <v>3.8</v>
      </c>
      <c r="AQ43" s="17" t="n">
        <f aca="false">AVERAGE(S43:V43)</f>
        <v>3.25</v>
      </c>
      <c r="AR43" s="17" t="n">
        <f aca="false">AVERAGE(W43,X43,Z43,AB43)</f>
        <v>3.25</v>
      </c>
      <c r="AS43" s="17" t="n">
        <f aca="false">AVERAGE(AC43:AF43)</f>
        <v>3.25</v>
      </c>
      <c r="AT43" s="17" t="n">
        <f aca="false">AVERAGE(Y43,AA43,AG43:AM43)</f>
        <v>2</v>
      </c>
      <c r="AU43" s="18" t="n">
        <f aca="false">(AO43+AP43+AQ43+AR43+AS43+(6-AT43))/6</f>
        <v>3.25833333333333</v>
      </c>
      <c r="AV43" s="7" t="s">
        <v>1029</v>
      </c>
      <c r="AW43" s="7" t="s">
        <v>1033</v>
      </c>
      <c r="AX43" s="20" t="s">
        <v>1035</v>
      </c>
      <c r="AY43" s="8"/>
    </row>
    <row r="44" customFormat="false" ht="22.35" hidden="false" customHeight="false" outlineLevel="0" collapsed="false">
      <c r="A44" s="7" t="n">
        <v>321</v>
      </c>
      <c r="B44" s="8" t="s">
        <v>426</v>
      </c>
      <c r="C44" s="8" t="s">
        <v>944</v>
      </c>
      <c r="D44" s="8" t="s">
        <v>915</v>
      </c>
      <c r="E44" s="7" t="n">
        <v>1</v>
      </c>
      <c r="F44" s="7" t="n">
        <v>1</v>
      </c>
      <c r="G44" s="7" t="n">
        <v>1</v>
      </c>
      <c r="H44" s="7" t="n">
        <v>1</v>
      </c>
      <c r="I44" s="7" t="n">
        <v>1</v>
      </c>
      <c r="J44" s="7" t="n">
        <v>1</v>
      </c>
      <c r="K44" s="7" t="n">
        <v>1</v>
      </c>
      <c r="L44" s="7" t="n">
        <v>3</v>
      </c>
      <c r="M44" s="9"/>
      <c r="N44" s="7" t="n">
        <v>4</v>
      </c>
      <c r="O44" s="7" t="n">
        <v>3</v>
      </c>
      <c r="P44" s="7" t="n">
        <v>4</v>
      </c>
      <c r="Q44" s="7" t="n">
        <v>4</v>
      </c>
      <c r="R44" s="7" t="n">
        <v>3</v>
      </c>
      <c r="S44" s="7" t="n">
        <v>2</v>
      </c>
      <c r="T44" s="7" t="n">
        <v>3</v>
      </c>
      <c r="U44" s="7" t="n">
        <v>5</v>
      </c>
      <c r="V44" s="7" t="n">
        <v>3</v>
      </c>
      <c r="W44" s="19" t="n">
        <v>3</v>
      </c>
      <c r="X44" s="7" t="n">
        <v>4</v>
      </c>
      <c r="Y44" s="7" t="n">
        <v>1</v>
      </c>
      <c r="Z44" s="7" t="n">
        <v>2</v>
      </c>
      <c r="AA44" s="7" t="n">
        <v>2</v>
      </c>
      <c r="AB44" s="7" t="n">
        <v>4</v>
      </c>
      <c r="AC44" s="7" t="n">
        <v>3</v>
      </c>
      <c r="AD44" s="7" t="n">
        <v>3</v>
      </c>
      <c r="AE44" s="7" t="n">
        <v>3</v>
      </c>
      <c r="AF44" s="7" t="n">
        <v>4</v>
      </c>
      <c r="AG44" s="7" t="n">
        <v>3</v>
      </c>
      <c r="AH44" s="7" t="n">
        <v>3</v>
      </c>
      <c r="AI44" s="7" t="n">
        <v>2</v>
      </c>
      <c r="AJ44" s="9"/>
      <c r="AK44" s="7" t="n">
        <v>1</v>
      </c>
      <c r="AL44" s="7" t="n">
        <v>3</v>
      </c>
      <c r="AM44" s="7" t="n">
        <v>1</v>
      </c>
      <c r="AN44" s="7" t="n">
        <v>1</v>
      </c>
      <c r="AO44" s="16" t="n">
        <f aca="false">MAX(E44:K44)</f>
        <v>1</v>
      </c>
      <c r="AP44" s="17" t="n">
        <f aca="false">AVERAGE(N44:R44)</f>
        <v>3.6</v>
      </c>
      <c r="AQ44" s="17" t="n">
        <f aca="false">AVERAGE(S44:V44)</f>
        <v>3.25</v>
      </c>
      <c r="AR44" s="17" t="n">
        <f aca="false">AVERAGE(W44,X44,Z44,AB44)</f>
        <v>3.25</v>
      </c>
      <c r="AS44" s="17" t="n">
        <f aca="false">AVERAGE(AC44:AF44)</f>
        <v>3.25</v>
      </c>
      <c r="AT44" s="17" t="n">
        <f aca="false">AVERAGE(Y44,AA44,AG44:AM44)</f>
        <v>2</v>
      </c>
      <c r="AU44" s="18" t="n">
        <f aca="false">(AO44+AP44+AQ44+AR44+AS44+(6-AT44))/6</f>
        <v>3.05833333333333</v>
      </c>
      <c r="AV44" s="7" t="s">
        <v>1029</v>
      </c>
      <c r="AW44" s="7" t="s">
        <v>1033</v>
      </c>
      <c r="AX44" s="20" t="s">
        <v>1035</v>
      </c>
      <c r="AY44" s="8"/>
    </row>
    <row r="45" customFormat="false" ht="22.35" hidden="false" customHeight="false" outlineLevel="0" collapsed="false">
      <c r="A45" s="7" t="n">
        <v>322</v>
      </c>
      <c r="B45" s="8" t="s">
        <v>426</v>
      </c>
      <c r="C45" s="8" t="s">
        <v>947</v>
      </c>
      <c r="D45" s="8" t="s">
        <v>915</v>
      </c>
      <c r="E45" s="7" t="n">
        <v>1</v>
      </c>
      <c r="F45" s="7" t="n">
        <v>1</v>
      </c>
      <c r="G45" s="7" t="n">
        <v>2</v>
      </c>
      <c r="H45" s="7" t="n">
        <v>1</v>
      </c>
      <c r="I45" s="7" t="n">
        <v>1</v>
      </c>
      <c r="J45" s="7" t="n">
        <v>1</v>
      </c>
      <c r="K45" s="7" t="n">
        <v>1</v>
      </c>
      <c r="L45" s="7" t="n">
        <v>4</v>
      </c>
      <c r="M45" s="9"/>
      <c r="N45" s="7" t="n">
        <v>4</v>
      </c>
      <c r="O45" s="7" t="n">
        <v>3</v>
      </c>
      <c r="P45" s="7" t="n">
        <v>4</v>
      </c>
      <c r="Q45" s="7" t="n">
        <v>4</v>
      </c>
      <c r="R45" s="7" t="n">
        <v>5</v>
      </c>
      <c r="S45" s="7" t="n">
        <v>2</v>
      </c>
      <c r="T45" s="7" t="n">
        <v>3</v>
      </c>
      <c r="U45" s="7" t="n">
        <v>5</v>
      </c>
      <c r="V45" s="7" t="n">
        <v>4</v>
      </c>
      <c r="W45" s="19" t="n">
        <v>3</v>
      </c>
      <c r="X45" s="7" t="n">
        <v>4</v>
      </c>
      <c r="Y45" s="7" t="n">
        <v>2</v>
      </c>
      <c r="Z45" s="7" t="n">
        <v>4</v>
      </c>
      <c r="AA45" s="7" t="n">
        <v>2</v>
      </c>
      <c r="AB45" s="7" t="n">
        <v>4</v>
      </c>
      <c r="AC45" s="7" t="n">
        <v>3</v>
      </c>
      <c r="AD45" s="7" t="n">
        <v>3</v>
      </c>
      <c r="AE45" s="7" t="n">
        <v>4</v>
      </c>
      <c r="AF45" s="7" t="n">
        <v>4</v>
      </c>
      <c r="AG45" s="7" t="n">
        <v>3</v>
      </c>
      <c r="AH45" s="7" t="n">
        <v>3</v>
      </c>
      <c r="AI45" s="7" t="n">
        <v>3</v>
      </c>
      <c r="AJ45" s="9"/>
      <c r="AK45" s="7" t="n">
        <v>1</v>
      </c>
      <c r="AL45" s="7" t="n">
        <v>3</v>
      </c>
      <c r="AM45" s="7" t="n">
        <v>1</v>
      </c>
      <c r="AN45" s="7" t="n">
        <v>2</v>
      </c>
      <c r="AO45" s="16" t="n">
        <f aca="false">MAX(E45:K45)</f>
        <v>2</v>
      </c>
      <c r="AP45" s="17" t="n">
        <f aca="false">AVERAGE(N45:R45)</f>
        <v>4</v>
      </c>
      <c r="AQ45" s="17" t="n">
        <f aca="false">AVERAGE(S45:V45)</f>
        <v>3.5</v>
      </c>
      <c r="AR45" s="17" t="n">
        <f aca="false">AVERAGE(W45,X45,Z45,AB45)</f>
        <v>3.75</v>
      </c>
      <c r="AS45" s="17" t="n">
        <f aca="false">AVERAGE(AC45:AF45)</f>
        <v>3.5</v>
      </c>
      <c r="AT45" s="17" t="n">
        <f aca="false">AVERAGE(Y45,AA45,AG45:AM45)</f>
        <v>2.25</v>
      </c>
      <c r="AU45" s="18" t="n">
        <f aca="false">(AO45+AP45+AQ45+AR45+AS45+(6-AT45))/6</f>
        <v>3.41666666666667</v>
      </c>
      <c r="AV45" s="7" t="s">
        <v>1029</v>
      </c>
      <c r="AW45" s="7" t="s">
        <v>1033</v>
      </c>
      <c r="AX45" s="20" t="s">
        <v>1035</v>
      </c>
      <c r="AY45" s="8"/>
    </row>
    <row r="46" customFormat="false" ht="22.35" hidden="false" customHeight="false" outlineLevel="0" collapsed="false">
      <c r="A46" s="7" t="n">
        <v>323</v>
      </c>
      <c r="B46" s="8" t="s">
        <v>426</v>
      </c>
      <c r="C46" s="8" t="s">
        <v>1041</v>
      </c>
      <c r="D46" s="8" t="s">
        <v>877</v>
      </c>
      <c r="E46" s="7" t="n">
        <v>1</v>
      </c>
      <c r="F46" s="7" t="n">
        <v>1</v>
      </c>
      <c r="G46" s="7" t="n">
        <v>2</v>
      </c>
      <c r="H46" s="7" t="n">
        <v>1</v>
      </c>
      <c r="I46" s="7" t="n">
        <v>1</v>
      </c>
      <c r="J46" s="7" t="n">
        <v>1</v>
      </c>
      <c r="K46" s="7" t="n">
        <v>1</v>
      </c>
      <c r="L46" s="7" t="n">
        <v>4</v>
      </c>
      <c r="M46" s="9"/>
      <c r="N46" s="7" t="n">
        <v>4</v>
      </c>
      <c r="O46" s="7" t="n">
        <v>3</v>
      </c>
      <c r="P46" s="7" t="n">
        <v>4</v>
      </c>
      <c r="Q46" s="7" t="n">
        <v>2</v>
      </c>
      <c r="R46" s="7" t="n">
        <v>5</v>
      </c>
      <c r="S46" s="7" t="n">
        <v>2</v>
      </c>
      <c r="T46" s="7" t="n">
        <v>3</v>
      </c>
      <c r="U46" s="7" t="n">
        <v>5</v>
      </c>
      <c r="V46" s="7" t="n">
        <v>3</v>
      </c>
      <c r="W46" s="19" t="n">
        <v>3</v>
      </c>
      <c r="X46" s="7" t="n">
        <v>4</v>
      </c>
      <c r="Y46" s="7" t="n">
        <v>3</v>
      </c>
      <c r="Z46" s="7" t="n">
        <v>3</v>
      </c>
      <c r="AA46" s="7" t="n">
        <v>3</v>
      </c>
      <c r="AB46" s="7" t="n">
        <v>4</v>
      </c>
      <c r="AC46" s="7" t="n">
        <v>3</v>
      </c>
      <c r="AD46" s="7" t="n">
        <v>4</v>
      </c>
      <c r="AE46" s="7" t="n">
        <v>3</v>
      </c>
      <c r="AF46" s="7" t="n">
        <v>4</v>
      </c>
      <c r="AG46" s="7" t="n">
        <v>3</v>
      </c>
      <c r="AH46" s="7" t="n">
        <v>3</v>
      </c>
      <c r="AI46" s="7" t="n">
        <v>3</v>
      </c>
      <c r="AJ46" s="9"/>
      <c r="AK46" s="7" t="n">
        <v>2</v>
      </c>
      <c r="AL46" s="7" t="n">
        <v>3</v>
      </c>
      <c r="AM46" s="7" t="n">
        <v>1</v>
      </c>
      <c r="AN46" s="7" t="n">
        <v>1</v>
      </c>
      <c r="AO46" s="16" t="n">
        <f aca="false">MAX(E46:K46)</f>
        <v>2</v>
      </c>
      <c r="AP46" s="17" t="n">
        <f aca="false">AVERAGE(N46:R46)</f>
        <v>3.6</v>
      </c>
      <c r="AQ46" s="17" t="n">
        <f aca="false">AVERAGE(S46:V46)</f>
        <v>3.25</v>
      </c>
      <c r="AR46" s="17" t="n">
        <f aca="false">AVERAGE(W46,X46,Z46,AB46)</f>
        <v>3.5</v>
      </c>
      <c r="AS46" s="17" t="n">
        <f aca="false">AVERAGE(AC46:AF46)</f>
        <v>3.5</v>
      </c>
      <c r="AT46" s="17" t="n">
        <f aca="false">AVERAGE(Y46,AA46,AG46:AM46)</f>
        <v>2.625</v>
      </c>
      <c r="AU46" s="18" t="n">
        <f aca="false">(AO46+AP46+AQ46+AR46+AS46+(6-AT46))/6</f>
        <v>3.20416666666667</v>
      </c>
      <c r="AV46" s="7" t="s">
        <v>1029</v>
      </c>
      <c r="AW46" s="7" t="s">
        <v>1033</v>
      </c>
      <c r="AX46" s="20" t="s">
        <v>1035</v>
      </c>
      <c r="AY46" s="8"/>
    </row>
    <row r="47" customFormat="false" ht="22.35" hidden="false" customHeight="false" outlineLevel="0" collapsed="false">
      <c r="A47" s="7" t="n">
        <v>324</v>
      </c>
      <c r="B47" s="8" t="s">
        <v>508</v>
      </c>
      <c r="C47" s="8" t="s">
        <v>509</v>
      </c>
      <c r="D47" s="8" t="s">
        <v>491</v>
      </c>
      <c r="E47" s="7" t="n">
        <v>1</v>
      </c>
      <c r="F47" s="7" t="n">
        <v>1</v>
      </c>
      <c r="G47" s="7" t="n">
        <v>1</v>
      </c>
      <c r="H47" s="7" t="n">
        <v>4</v>
      </c>
      <c r="I47" s="7" t="n">
        <v>3</v>
      </c>
      <c r="J47" s="7" t="n">
        <v>1</v>
      </c>
      <c r="K47" s="7" t="n">
        <v>3</v>
      </c>
      <c r="L47" s="7" t="n">
        <v>3</v>
      </c>
      <c r="M47" s="9"/>
      <c r="N47" s="7" t="n">
        <v>4</v>
      </c>
      <c r="O47" s="7" t="n">
        <v>4</v>
      </c>
      <c r="P47" s="7" t="n">
        <v>3</v>
      </c>
      <c r="Q47" s="7" t="n">
        <v>4</v>
      </c>
      <c r="R47" s="7" t="n">
        <v>4</v>
      </c>
      <c r="S47" s="7" t="n">
        <v>3</v>
      </c>
      <c r="T47" s="7" t="n">
        <v>4</v>
      </c>
      <c r="U47" s="7" t="n">
        <v>3</v>
      </c>
      <c r="V47" s="7" t="n">
        <v>5</v>
      </c>
      <c r="W47" s="7" t="n">
        <v>3</v>
      </c>
      <c r="X47" s="7" t="n">
        <v>5</v>
      </c>
      <c r="Y47" s="7" t="n">
        <v>3</v>
      </c>
      <c r="Z47" s="7" t="n">
        <v>3</v>
      </c>
      <c r="AA47" s="7" t="n">
        <v>3</v>
      </c>
      <c r="AB47" s="7" t="n">
        <v>3</v>
      </c>
      <c r="AC47" s="7" t="n">
        <v>4</v>
      </c>
      <c r="AD47" s="7" t="n">
        <v>3</v>
      </c>
      <c r="AE47" s="7" t="n">
        <v>4</v>
      </c>
      <c r="AF47" s="7" t="n">
        <v>4</v>
      </c>
      <c r="AG47" s="7" t="n">
        <v>4</v>
      </c>
      <c r="AH47" s="7" t="n">
        <v>3</v>
      </c>
      <c r="AI47" s="7" t="n">
        <v>5</v>
      </c>
      <c r="AJ47" s="9"/>
      <c r="AK47" s="7" t="n">
        <v>3</v>
      </c>
      <c r="AL47" s="7" t="n">
        <v>2</v>
      </c>
      <c r="AM47" s="7" t="n">
        <v>1</v>
      </c>
      <c r="AN47" s="7" t="n">
        <v>3</v>
      </c>
      <c r="AO47" s="16" t="n">
        <f aca="false">MAX(E47:K47)</f>
        <v>4</v>
      </c>
      <c r="AP47" s="17" t="n">
        <f aca="false">AVERAGE(N47:R47)</f>
        <v>3.8</v>
      </c>
      <c r="AQ47" s="17" t="n">
        <f aca="false">AVERAGE(S47:V47)</f>
        <v>3.75</v>
      </c>
      <c r="AR47" s="17" t="n">
        <f aca="false">AVERAGE(W47,X47,Z47,AB47)</f>
        <v>3.5</v>
      </c>
      <c r="AS47" s="17" t="n">
        <f aca="false">AVERAGE(AC47:AF47)</f>
        <v>3.75</v>
      </c>
      <c r="AT47" s="17" t="n">
        <f aca="false">AVERAGE(Y47,AA47,AG47:AM47)</f>
        <v>3</v>
      </c>
      <c r="AU47" s="18" t="n">
        <f aca="false">(AO47+AP47+AQ47+AR47+AS47+(6-AT47))/6</f>
        <v>3.63333333333333</v>
      </c>
      <c r="AV47" s="7" t="s">
        <v>1029</v>
      </c>
      <c r="AW47" s="7" t="s">
        <v>1030</v>
      </c>
      <c r="AX47" s="7" t="n">
        <v>3</v>
      </c>
      <c r="AY47" s="8"/>
    </row>
    <row r="48" customFormat="false" ht="22.35" hidden="false" customHeight="false" outlineLevel="0" collapsed="false">
      <c r="A48" s="7" t="n">
        <v>325</v>
      </c>
      <c r="B48" s="8" t="s">
        <v>426</v>
      </c>
      <c r="C48" s="8" t="s">
        <v>952</v>
      </c>
      <c r="D48" s="8" t="s">
        <v>915</v>
      </c>
      <c r="E48" s="7" t="n">
        <v>1</v>
      </c>
      <c r="F48" s="7" t="n">
        <v>1</v>
      </c>
      <c r="G48" s="7" t="n">
        <v>1</v>
      </c>
      <c r="H48" s="7" t="n">
        <v>1</v>
      </c>
      <c r="I48" s="7" t="n">
        <v>1</v>
      </c>
      <c r="J48" s="7" t="n">
        <v>1</v>
      </c>
      <c r="K48" s="7" t="n">
        <v>2</v>
      </c>
      <c r="L48" s="7" t="n">
        <v>4</v>
      </c>
      <c r="M48" s="9"/>
      <c r="N48" s="7" t="n">
        <v>4</v>
      </c>
      <c r="O48" s="7" t="n">
        <v>3</v>
      </c>
      <c r="P48" s="7" t="n">
        <v>4</v>
      </c>
      <c r="Q48" s="7" t="n">
        <v>4</v>
      </c>
      <c r="R48" s="7" t="n">
        <v>4</v>
      </c>
      <c r="S48" s="7" t="n">
        <v>2</v>
      </c>
      <c r="T48" s="7" t="n">
        <v>3</v>
      </c>
      <c r="U48" s="7" t="n">
        <v>5</v>
      </c>
      <c r="V48" s="7" t="n">
        <v>4</v>
      </c>
      <c r="W48" s="19" t="n">
        <v>3</v>
      </c>
      <c r="X48" s="7" t="n">
        <v>4</v>
      </c>
      <c r="Y48" s="7" t="n">
        <v>3</v>
      </c>
      <c r="Z48" s="7" t="n">
        <v>4</v>
      </c>
      <c r="AA48" s="7" t="n">
        <v>3</v>
      </c>
      <c r="AB48" s="7" t="n">
        <v>4</v>
      </c>
      <c r="AC48" s="7" t="n">
        <v>3</v>
      </c>
      <c r="AD48" s="7" t="n">
        <v>4</v>
      </c>
      <c r="AE48" s="7" t="n">
        <v>3</v>
      </c>
      <c r="AF48" s="7" t="n">
        <v>4</v>
      </c>
      <c r="AG48" s="7" t="n">
        <v>3</v>
      </c>
      <c r="AH48" s="7" t="n">
        <v>3</v>
      </c>
      <c r="AI48" s="7" t="n">
        <v>3</v>
      </c>
      <c r="AJ48" s="9"/>
      <c r="AK48" s="7" t="n">
        <v>2</v>
      </c>
      <c r="AL48" s="7" t="n">
        <v>3</v>
      </c>
      <c r="AM48" s="7" t="n">
        <v>1</v>
      </c>
      <c r="AN48" s="7" t="n">
        <v>2</v>
      </c>
      <c r="AO48" s="16" t="n">
        <f aca="false">MAX(E48:K48)</f>
        <v>2</v>
      </c>
      <c r="AP48" s="17" t="n">
        <f aca="false">AVERAGE(N48:R48)</f>
        <v>3.8</v>
      </c>
      <c r="AQ48" s="17" t="n">
        <f aca="false">AVERAGE(S48:V48)</f>
        <v>3.5</v>
      </c>
      <c r="AR48" s="17" t="n">
        <f aca="false">AVERAGE(W48,X48,Z48,AB48)</f>
        <v>3.75</v>
      </c>
      <c r="AS48" s="17" t="n">
        <f aca="false">AVERAGE(AC48:AF48)</f>
        <v>3.5</v>
      </c>
      <c r="AT48" s="17" t="n">
        <f aca="false">AVERAGE(Y48,AA48,AG48:AM48)</f>
        <v>2.625</v>
      </c>
      <c r="AU48" s="18" t="n">
        <f aca="false">(AO48+AP48+AQ48+AR48+AS48+(6-AT48))/6</f>
        <v>3.32083333333333</v>
      </c>
      <c r="AV48" s="7" t="s">
        <v>1029</v>
      </c>
      <c r="AW48" s="7" t="s">
        <v>1033</v>
      </c>
      <c r="AX48" s="20" t="s">
        <v>1035</v>
      </c>
      <c r="AY48" s="8"/>
    </row>
    <row r="49" customFormat="false" ht="22.35" hidden="false" customHeight="false" outlineLevel="0" collapsed="false">
      <c r="A49" s="7" t="n">
        <v>326</v>
      </c>
      <c r="B49" s="8" t="s">
        <v>508</v>
      </c>
      <c r="C49" s="8" t="s">
        <v>624</v>
      </c>
      <c r="D49" s="8" t="s">
        <v>588</v>
      </c>
      <c r="E49" s="7" t="n">
        <v>1</v>
      </c>
      <c r="F49" s="7" t="n">
        <v>1</v>
      </c>
      <c r="G49" s="7" t="n">
        <v>1</v>
      </c>
      <c r="H49" s="7" t="n">
        <v>1</v>
      </c>
      <c r="I49" s="7" t="n">
        <v>2</v>
      </c>
      <c r="J49" s="7" t="n">
        <v>1</v>
      </c>
      <c r="K49" s="7" t="n">
        <v>3</v>
      </c>
      <c r="L49" s="7" t="n">
        <v>3</v>
      </c>
      <c r="M49" s="9"/>
      <c r="N49" s="7" t="n">
        <v>4</v>
      </c>
      <c r="O49" s="7" t="n">
        <v>4</v>
      </c>
      <c r="P49" s="7" t="n">
        <v>3</v>
      </c>
      <c r="Q49" s="7" t="n">
        <v>4</v>
      </c>
      <c r="R49" s="7" t="n">
        <v>2</v>
      </c>
      <c r="S49" s="7" t="n">
        <v>3</v>
      </c>
      <c r="T49" s="7" t="n">
        <v>4</v>
      </c>
      <c r="U49" s="7" t="n">
        <v>3</v>
      </c>
      <c r="V49" s="7" t="n">
        <v>3</v>
      </c>
      <c r="W49" s="19" t="n">
        <v>3</v>
      </c>
      <c r="X49" s="7" t="n">
        <v>5</v>
      </c>
      <c r="Y49" s="7" t="n">
        <v>2</v>
      </c>
      <c r="Z49" s="7" t="n">
        <v>5</v>
      </c>
      <c r="AA49" s="7" t="n">
        <v>4</v>
      </c>
      <c r="AB49" s="7" t="n">
        <v>3</v>
      </c>
      <c r="AC49" s="7" t="n">
        <v>2</v>
      </c>
      <c r="AD49" s="7" t="n">
        <v>2</v>
      </c>
      <c r="AE49" s="7" t="n">
        <v>3</v>
      </c>
      <c r="AF49" s="7" t="n">
        <v>3</v>
      </c>
      <c r="AG49" s="7" t="n">
        <v>2</v>
      </c>
      <c r="AH49" s="7" t="n">
        <v>1</v>
      </c>
      <c r="AI49" s="7" t="n">
        <v>2</v>
      </c>
      <c r="AJ49" s="9"/>
      <c r="AK49" s="7" t="n">
        <v>1</v>
      </c>
      <c r="AL49" s="7" t="n">
        <v>3</v>
      </c>
      <c r="AM49" s="7" t="n">
        <v>2</v>
      </c>
      <c r="AN49" s="7" t="n">
        <v>2</v>
      </c>
      <c r="AO49" s="16" t="n">
        <f aca="false">MAX(E49:K49)</f>
        <v>3</v>
      </c>
      <c r="AP49" s="17" t="n">
        <f aca="false">AVERAGE(N49:R49)</f>
        <v>3.4</v>
      </c>
      <c r="AQ49" s="17" t="n">
        <f aca="false">AVERAGE(S49:V49)</f>
        <v>3.25</v>
      </c>
      <c r="AR49" s="17" t="n">
        <f aca="false">AVERAGE(W49,X49,Z49,AB49)</f>
        <v>4</v>
      </c>
      <c r="AS49" s="17" t="n">
        <f aca="false">AVERAGE(AC49:AF49)</f>
        <v>2.5</v>
      </c>
      <c r="AT49" s="17" t="n">
        <f aca="false">AVERAGE(Y49,AA49,AG49:AM49)</f>
        <v>2.125</v>
      </c>
      <c r="AU49" s="18" t="n">
        <f aca="false">(AO49+AP49+AQ49+AR49+AS49+(6-AT49))/6</f>
        <v>3.3375</v>
      </c>
      <c r="AV49" s="7" t="s">
        <v>1029</v>
      </c>
      <c r="AW49" s="7" t="s">
        <v>1030</v>
      </c>
      <c r="AX49" s="20" t="s">
        <v>1035</v>
      </c>
      <c r="AY49" s="8"/>
    </row>
    <row r="50" customFormat="false" ht="22.35" hidden="false" customHeight="false" outlineLevel="0" collapsed="false">
      <c r="A50" s="7" t="n">
        <v>327</v>
      </c>
      <c r="B50" s="8" t="s">
        <v>426</v>
      </c>
      <c r="C50" s="8" t="s">
        <v>1042</v>
      </c>
      <c r="D50" s="8" t="s">
        <v>915</v>
      </c>
      <c r="E50" s="7" t="n">
        <v>1</v>
      </c>
      <c r="F50" s="7" t="n">
        <v>1</v>
      </c>
      <c r="G50" s="7" t="n">
        <v>1</v>
      </c>
      <c r="H50" s="7" t="n">
        <v>1</v>
      </c>
      <c r="I50" s="7" t="n">
        <v>1</v>
      </c>
      <c r="J50" s="7" t="n">
        <v>1</v>
      </c>
      <c r="K50" s="7" t="n">
        <v>1</v>
      </c>
      <c r="L50" s="7" t="n">
        <v>3</v>
      </c>
      <c r="M50" s="9"/>
      <c r="N50" s="7" t="n">
        <v>4</v>
      </c>
      <c r="O50" s="7" t="n">
        <v>3</v>
      </c>
      <c r="P50" s="7" t="n">
        <v>4</v>
      </c>
      <c r="Q50" s="7" t="n">
        <v>3</v>
      </c>
      <c r="R50" s="7" t="n">
        <v>4</v>
      </c>
      <c r="S50" s="7" t="n">
        <v>2</v>
      </c>
      <c r="T50" s="7" t="n">
        <v>3</v>
      </c>
      <c r="U50" s="7" t="n">
        <v>5</v>
      </c>
      <c r="V50" s="7" t="n">
        <v>3</v>
      </c>
      <c r="W50" s="19" t="n">
        <v>3</v>
      </c>
      <c r="X50" s="7" t="n">
        <v>4</v>
      </c>
      <c r="Y50" s="7" t="n">
        <v>1</v>
      </c>
      <c r="Z50" s="7" t="n">
        <v>3</v>
      </c>
      <c r="AA50" s="7" t="n">
        <v>3</v>
      </c>
      <c r="AB50" s="7" t="n">
        <v>4</v>
      </c>
      <c r="AC50" s="7" t="n">
        <v>3</v>
      </c>
      <c r="AD50" s="7" t="n">
        <v>3</v>
      </c>
      <c r="AE50" s="7" t="n">
        <v>3</v>
      </c>
      <c r="AF50" s="7" t="n">
        <v>4</v>
      </c>
      <c r="AG50" s="7" t="n">
        <v>3</v>
      </c>
      <c r="AH50" s="7" t="n">
        <v>3</v>
      </c>
      <c r="AI50" s="7" t="n">
        <v>3</v>
      </c>
      <c r="AJ50" s="9"/>
      <c r="AK50" s="7" t="n">
        <v>1</v>
      </c>
      <c r="AL50" s="7" t="n">
        <v>3</v>
      </c>
      <c r="AM50" s="7" t="n">
        <v>1</v>
      </c>
      <c r="AN50" s="7" t="n">
        <v>1</v>
      </c>
      <c r="AO50" s="16" t="n">
        <f aca="false">MAX(E50:K50)</f>
        <v>1</v>
      </c>
      <c r="AP50" s="17" t="n">
        <f aca="false">AVERAGE(N50:R50)</f>
        <v>3.6</v>
      </c>
      <c r="AQ50" s="17" t="n">
        <f aca="false">AVERAGE(S50:V50)</f>
        <v>3.25</v>
      </c>
      <c r="AR50" s="17" t="n">
        <f aca="false">AVERAGE(W50,X50,Z50,AB50)</f>
        <v>3.5</v>
      </c>
      <c r="AS50" s="17" t="n">
        <f aca="false">AVERAGE(AC50:AF50)</f>
        <v>3.25</v>
      </c>
      <c r="AT50" s="17" t="n">
        <f aca="false">AVERAGE(Y50,AA50,AG50:AM50)</f>
        <v>2.25</v>
      </c>
      <c r="AU50" s="18" t="n">
        <f aca="false">(AO50+AP50+AQ50+AR50+AS50+(6-AT50))/6</f>
        <v>3.05833333333333</v>
      </c>
      <c r="AV50" s="7" t="s">
        <v>1029</v>
      </c>
      <c r="AW50" s="7" t="s">
        <v>1033</v>
      </c>
      <c r="AX50" s="20" t="s">
        <v>1035</v>
      </c>
      <c r="AY50" s="8"/>
    </row>
    <row r="51" customFormat="false" ht="22.35" hidden="false" customHeight="false" outlineLevel="0" collapsed="false">
      <c r="A51" s="7" t="n">
        <v>328</v>
      </c>
      <c r="B51" s="8" t="s">
        <v>426</v>
      </c>
      <c r="C51" s="8" t="s">
        <v>1043</v>
      </c>
      <c r="D51" s="8" t="s">
        <v>915</v>
      </c>
      <c r="E51" s="7" t="n">
        <v>1</v>
      </c>
      <c r="F51" s="7" t="n">
        <v>1</v>
      </c>
      <c r="G51" s="7" t="n">
        <v>1</v>
      </c>
      <c r="H51" s="7" t="n">
        <v>1</v>
      </c>
      <c r="I51" s="7" t="n">
        <v>1</v>
      </c>
      <c r="J51" s="7" t="n">
        <v>1</v>
      </c>
      <c r="K51" s="7" t="n">
        <v>1</v>
      </c>
      <c r="L51" s="7" t="n">
        <v>3</v>
      </c>
      <c r="M51" s="9"/>
      <c r="N51" s="7" t="n">
        <v>4</v>
      </c>
      <c r="O51" s="7" t="n">
        <v>3</v>
      </c>
      <c r="P51" s="7" t="n">
        <v>4</v>
      </c>
      <c r="Q51" s="7" t="n">
        <v>3</v>
      </c>
      <c r="R51" s="7" t="n">
        <v>4</v>
      </c>
      <c r="S51" s="7" t="n">
        <v>2</v>
      </c>
      <c r="T51" s="7" t="n">
        <v>3</v>
      </c>
      <c r="U51" s="7" t="n">
        <v>5</v>
      </c>
      <c r="V51" s="7" t="n">
        <v>3</v>
      </c>
      <c r="W51" s="19" t="n">
        <v>3</v>
      </c>
      <c r="X51" s="7" t="n">
        <v>4</v>
      </c>
      <c r="Y51" s="7" t="n">
        <v>1</v>
      </c>
      <c r="Z51" s="7" t="n">
        <v>3</v>
      </c>
      <c r="AA51" s="7" t="n">
        <v>3</v>
      </c>
      <c r="AB51" s="7" t="n">
        <v>4</v>
      </c>
      <c r="AC51" s="7" t="n">
        <v>3</v>
      </c>
      <c r="AD51" s="7" t="n">
        <v>3</v>
      </c>
      <c r="AE51" s="7" t="n">
        <v>3</v>
      </c>
      <c r="AF51" s="7" t="n">
        <v>4</v>
      </c>
      <c r="AG51" s="7" t="n">
        <v>3</v>
      </c>
      <c r="AH51" s="7" t="n">
        <v>3</v>
      </c>
      <c r="AI51" s="7" t="n">
        <v>3</v>
      </c>
      <c r="AJ51" s="9"/>
      <c r="AK51" s="7" t="n">
        <v>1</v>
      </c>
      <c r="AL51" s="7" t="n">
        <v>3</v>
      </c>
      <c r="AM51" s="7" t="n">
        <v>1</v>
      </c>
      <c r="AN51" s="7" t="n">
        <v>1</v>
      </c>
      <c r="AO51" s="16" t="n">
        <f aca="false">MAX(E51:K51)</f>
        <v>1</v>
      </c>
      <c r="AP51" s="17" t="n">
        <f aca="false">AVERAGE(N51:R51)</f>
        <v>3.6</v>
      </c>
      <c r="AQ51" s="17" t="n">
        <f aca="false">AVERAGE(S51:V51)</f>
        <v>3.25</v>
      </c>
      <c r="AR51" s="17" t="n">
        <f aca="false">AVERAGE(W51,X51,Z51,AB51)</f>
        <v>3.5</v>
      </c>
      <c r="AS51" s="17" t="n">
        <f aca="false">AVERAGE(AC51:AF51)</f>
        <v>3.25</v>
      </c>
      <c r="AT51" s="17" t="n">
        <f aca="false">AVERAGE(Y51,AA51,AG51:AM51)</f>
        <v>2.25</v>
      </c>
      <c r="AU51" s="18" t="n">
        <f aca="false">(AO51+AP51+AQ51+AR51+AS51+(6-AT51))/6</f>
        <v>3.05833333333333</v>
      </c>
      <c r="AV51" s="7" t="s">
        <v>1029</v>
      </c>
      <c r="AW51" s="7" t="s">
        <v>1033</v>
      </c>
      <c r="AX51" s="20" t="s">
        <v>1035</v>
      </c>
      <c r="AY51" s="8"/>
    </row>
    <row r="52" customFormat="false" ht="22.35" hidden="false" customHeight="false" outlineLevel="0" collapsed="false">
      <c r="A52" s="7" t="n">
        <v>329</v>
      </c>
      <c r="B52" s="8" t="s">
        <v>426</v>
      </c>
      <c r="C52" s="8" t="s">
        <v>1044</v>
      </c>
      <c r="D52" s="8" t="s">
        <v>915</v>
      </c>
      <c r="E52" s="7" t="n">
        <v>1</v>
      </c>
      <c r="F52" s="7" t="n">
        <v>1</v>
      </c>
      <c r="G52" s="7" t="n">
        <v>1</v>
      </c>
      <c r="H52" s="7" t="n">
        <v>1</v>
      </c>
      <c r="I52" s="7" t="n">
        <v>1</v>
      </c>
      <c r="J52" s="7" t="n">
        <v>1</v>
      </c>
      <c r="K52" s="7" t="n">
        <v>2</v>
      </c>
      <c r="L52" s="7" t="n">
        <v>3</v>
      </c>
      <c r="M52" s="9"/>
      <c r="N52" s="7" t="n">
        <v>4</v>
      </c>
      <c r="O52" s="7" t="n">
        <v>3</v>
      </c>
      <c r="P52" s="7" t="n">
        <v>4</v>
      </c>
      <c r="Q52" s="7" t="n">
        <v>3</v>
      </c>
      <c r="R52" s="7" t="n">
        <v>4</v>
      </c>
      <c r="S52" s="7" t="n">
        <v>2</v>
      </c>
      <c r="T52" s="7" t="n">
        <v>3</v>
      </c>
      <c r="U52" s="7" t="n">
        <v>5</v>
      </c>
      <c r="V52" s="7" t="n">
        <v>3</v>
      </c>
      <c r="W52" s="19" t="n">
        <v>3</v>
      </c>
      <c r="X52" s="7" t="n">
        <v>4</v>
      </c>
      <c r="Y52" s="7" t="n">
        <v>3</v>
      </c>
      <c r="Z52" s="7" t="n">
        <v>3</v>
      </c>
      <c r="AA52" s="7" t="n">
        <v>3</v>
      </c>
      <c r="AB52" s="7" t="n">
        <v>4</v>
      </c>
      <c r="AC52" s="7" t="n">
        <v>3</v>
      </c>
      <c r="AD52" s="7" t="n">
        <v>3</v>
      </c>
      <c r="AE52" s="7" t="n">
        <v>3</v>
      </c>
      <c r="AF52" s="7" t="n">
        <v>4</v>
      </c>
      <c r="AG52" s="7" t="n">
        <v>3</v>
      </c>
      <c r="AH52" s="7" t="n">
        <v>3</v>
      </c>
      <c r="AI52" s="7" t="n">
        <v>3</v>
      </c>
      <c r="AJ52" s="9"/>
      <c r="AK52" s="7" t="n">
        <v>2</v>
      </c>
      <c r="AL52" s="7" t="n">
        <v>3</v>
      </c>
      <c r="AM52" s="7" t="n">
        <v>1</v>
      </c>
      <c r="AN52" s="7" t="n">
        <v>1</v>
      </c>
      <c r="AO52" s="16" t="n">
        <f aca="false">MAX(E52:K52)</f>
        <v>2</v>
      </c>
      <c r="AP52" s="17" t="n">
        <f aca="false">AVERAGE(N52:R52)</f>
        <v>3.6</v>
      </c>
      <c r="AQ52" s="17" t="n">
        <f aca="false">AVERAGE(S52:V52)</f>
        <v>3.25</v>
      </c>
      <c r="AR52" s="17" t="n">
        <f aca="false">AVERAGE(W52,X52,Z52,AB52)</f>
        <v>3.5</v>
      </c>
      <c r="AS52" s="17" t="n">
        <f aca="false">AVERAGE(AC52:AF52)</f>
        <v>3.25</v>
      </c>
      <c r="AT52" s="17" t="n">
        <f aca="false">AVERAGE(Y52,AA52,AG52:AM52)</f>
        <v>2.625</v>
      </c>
      <c r="AU52" s="18" t="n">
        <f aca="false">(AO52+AP52+AQ52+AR52+AS52+(6-AT52))/6</f>
        <v>3.1625</v>
      </c>
      <c r="AV52" s="7" t="s">
        <v>1029</v>
      </c>
      <c r="AW52" s="7" t="s">
        <v>1033</v>
      </c>
      <c r="AX52" s="20" t="s">
        <v>1035</v>
      </c>
      <c r="AY52" s="8"/>
    </row>
    <row r="53" customFormat="false" ht="22.35" hidden="false" customHeight="false" outlineLevel="0" collapsed="false">
      <c r="A53" s="7" t="n">
        <v>330</v>
      </c>
      <c r="B53" s="8" t="s">
        <v>884</v>
      </c>
      <c r="C53" s="8" t="s">
        <v>1045</v>
      </c>
      <c r="D53" s="8" t="s">
        <v>877</v>
      </c>
      <c r="E53" s="7" t="n">
        <v>1</v>
      </c>
      <c r="F53" s="7" t="n">
        <v>1</v>
      </c>
      <c r="G53" s="7" t="n">
        <v>1</v>
      </c>
      <c r="H53" s="7" t="n">
        <v>1</v>
      </c>
      <c r="I53" s="7" t="n">
        <v>1</v>
      </c>
      <c r="J53" s="7" t="n">
        <v>1</v>
      </c>
      <c r="K53" s="7" t="n">
        <v>1</v>
      </c>
      <c r="L53" s="7" t="n">
        <v>3</v>
      </c>
      <c r="M53" s="9"/>
      <c r="N53" s="7" t="n">
        <v>3</v>
      </c>
      <c r="O53" s="7" t="n">
        <v>1</v>
      </c>
      <c r="P53" s="7" t="n">
        <v>3</v>
      </c>
      <c r="Q53" s="7" t="n">
        <v>2</v>
      </c>
      <c r="R53" s="7" t="n">
        <v>2</v>
      </c>
      <c r="S53" s="7" t="n">
        <v>2</v>
      </c>
      <c r="T53" s="7" t="n">
        <v>2</v>
      </c>
      <c r="U53" s="7" t="n">
        <v>1</v>
      </c>
      <c r="V53" s="7" t="n">
        <v>3</v>
      </c>
      <c r="W53" s="19" t="n">
        <v>3</v>
      </c>
      <c r="X53" s="7" t="n">
        <v>3</v>
      </c>
      <c r="Y53" s="7" t="n">
        <v>5</v>
      </c>
      <c r="Z53" s="7" t="n">
        <v>2</v>
      </c>
      <c r="AA53" s="7" t="n">
        <v>3</v>
      </c>
      <c r="AB53" s="7" t="n">
        <v>3</v>
      </c>
      <c r="AC53" s="7" t="n">
        <v>2</v>
      </c>
      <c r="AD53" s="7" t="n">
        <v>3</v>
      </c>
      <c r="AE53" s="7" t="n">
        <v>1</v>
      </c>
      <c r="AF53" s="7" t="n">
        <v>3</v>
      </c>
      <c r="AG53" s="7" t="n">
        <v>3</v>
      </c>
      <c r="AH53" s="7" t="n">
        <v>3</v>
      </c>
      <c r="AI53" s="7" t="n">
        <v>4</v>
      </c>
      <c r="AJ53" s="9"/>
      <c r="AK53" s="7" t="n">
        <v>4</v>
      </c>
      <c r="AL53" s="7" t="n">
        <v>3</v>
      </c>
      <c r="AM53" s="7" t="n">
        <v>5</v>
      </c>
      <c r="AN53" s="7" t="n">
        <v>1</v>
      </c>
      <c r="AO53" s="16" t="n">
        <f aca="false">MAX(E53:K53)</f>
        <v>1</v>
      </c>
      <c r="AP53" s="17" t="n">
        <f aca="false">AVERAGE(N53:R53)</f>
        <v>2.2</v>
      </c>
      <c r="AQ53" s="17" t="n">
        <f aca="false">AVERAGE(S53:V53)</f>
        <v>2</v>
      </c>
      <c r="AR53" s="17" t="n">
        <f aca="false">AVERAGE(W53,X53,Z53,AB53)</f>
        <v>2.75</v>
      </c>
      <c r="AS53" s="17" t="n">
        <f aca="false">AVERAGE(AC53:AF53)</f>
        <v>2.25</v>
      </c>
      <c r="AT53" s="17" t="n">
        <f aca="false">AVERAGE(Y53,AA53,AG53:AM53)</f>
        <v>3.75</v>
      </c>
      <c r="AU53" s="18" t="n">
        <f aca="false">(AO53+AP53+AQ53+AR53+AS53+(6-AT53))/6</f>
        <v>2.075</v>
      </c>
      <c r="AV53" s="7" t="s">
        <v>1033</v>
      </c>
      <c r="AW53" s="7" t="s">
        <v>1030</v>
      </c>
      <c r="AX53" s="20" t="s">
        <v>1035</v>
      </c>
      <c r="AY53" s="8"/>
    </row>
    <row r="54" customFormat="false" ht="22.35" hidden="false" customHeight="false" outlineLevel="0" collapsed="false">
      <c r="A54" s="7" t="n">
        <v>331</v>
      </c>
      <c r="B54" s="8" t="s">
        <v>426</v>
      </c>
      <c r="C54" s="8" t="s">
        <v>1046</v>
      </c>
      <c r="D54" s="8" t="s">
        <v>877</v>
      </c>
      <c r="E54" s="7" t="n">
        <v>1</v>
      </c>
      <c r="F54" s="7" t="n">
        <v>1</v>
      </c>
      <c r="G54" s="7" t="n">
        <v>2</v>
      </c>
      <c r="H54" s="7" t="n">
        <v>1</v>
      </c>
      <c r="I54" s="7" t="n">
        <v>1</v>
      </c>
      <c r="J54" s="7" t="n">
        <v>1</v>
      </c>
      <c r="K54" s="7" t="n">
        <v>1</v>
      </c>
      <c r="L54" s="7" t="n">
        <v>3</v>
      </c>
      <c r="M54" s="9"/>
      <c r="N54" s="7" t="n">
        <v>4</v>
      </c>
      <c r="O54" s="7" t="n">
        <v>3</v>
      </c>
      <c r="P54" s="7" t="n">
        <v>4</v>
      </c>
      <c r="Q54" s="7" t="n">
        <v>3</v>
      </c>
      <c r="R54" s="7" t="n">
        <v>4</v>
      </c>
      <c r="S54" s="7" t="n">
        <v>2</v>
      </c>
      <c r="T54" s="7" t="n">
        <v>3</v>
      </c>
      <c r="U54" s="7" t="n">
        <v>5</v>
      </c>
      <c r="V54" s="7" t="n">
        <v>3</v>
      </c>
      <c r="W54" s="19" t="n">
        <v>3</v>
      </c>
      <c r="X54" s="7" t="n">
        <v>4</v>
      </c>
      <c r="Y54" s="7" t="n">
        <v>2</v>
      </c>
      <c r="Z54" s="7" t="n">
        <v>4</v>
      </c>
      <c r="AA54" s="7" t="n">
        <v>2</v>
      </c>
      <c r="AB54" s="7" t="n">
        <v>4</v>
      </c>
      <c r="AC54" s="7" t="n">
        <v>2</v>
      </c>
      <c r="AD54" s="7" t="n">
        <v>3</v>
      </c>
      <c r="AE54" s="7" t="n">
        <v>3</v>
      </c>
      <c r="AF54" s="7" t="n">
        <v>4</v>
      </c>
      <c r="AG54" s="7" t="n">
        <v>3</v>
      </c>
      <c r="AH54" s="7" t="n">
        <v>2</v>
      </c>
      <c r="AI54" s="7" t="n">
        <v>3</v>
      </c>
      <c r="AJ54" s="9"/>
      <c r="AK54" s="7" t="n">
        <v>1</v>
      </c>
      <c r="AL54" s="7" t="n">
        <v>3</v>
      </c>
      <c r="AM54" s="7" t="n">
        <v>1</v>
      </c>
      <c r="AN54" s="7" t="n">
        <v>2</v>
      </c>
      <c r="AO54" s="16" t="n">
        <f aca="false">MAX(E54:K54)</f>
        <v>2</v>
      </c>
      <c r="AP54" s="17" t="n">
        <f aca="false">AVERAGE(N54:R54)</f>
        <v>3.6</v>
      </c>
      <c r="AQ54" s="17" t="n">
        <f aca="false">AVERAGE(S54:V54)</f>
        <v>3.25</v>
      </c>
      <c r="AR54" s="17" t="n">
        <f aca="false">AVERAGE(W54,X54,Z54,AB54)</f>
        <v>3.75</v>
      </c>
      <c r="AS54" s="17" t="n">
        <f aca="false">AVERAGE(AC54:AF54)</f>
        <v>3</v>
      </c>
      <c r="AT54" s="17" t="n">
        <f aca="false">AVERAGE(Y54,AA54,AG54:AM54)</f>
        <v>2.125</v>
      </c>
      <c r="AU54" s="18" t="n">
        <f aca="false">(AO54+AP54+AQ54+AR54+AS54+(6-AT54))/6</f>
        <v>3.24583333333333</v>
      </c>
      <c r="AV54" s="7" t="s">
        <v>1029</v>
      </c>
      <c r="AW54" s="7" t="s">
        <v>1033</v>
      </c>
      <c r="AX54" s="20" t="s">
        <v>1035</v>
      </c>
      <c r="AY54" s="8"/>
    </row>
    <row r="55" customFormat="false" ht="22.35" hidden="false" customHeight="false" outlineLevel="0" collapsed="false">
      <c r="A55" s="7" t="n">
        <v>332</v>
      </c>
      <c r="B55" s="8" t="s">
        <v>518</v>
      </c>
      <c r="C55" s="8" t="s">
        <v>519</v>
      </c>
      <c r="D55" s="8" t="s">
        <v>491</v>
      </c>
      <c r="E55" s="7" t="n">
        <v>1</v>
      </c>
      <c r="F55" s="7" t="n">
        <v>1</v>
      </c>
      <c r="G55" s="7" t="n">
        <v>1</v>
      </c>
      <c r="H55" s="7" t="n">
        <v>4</v>
      </c>
      <c r="I55" s="7" t="n">
        <v>2</v>
      </c>
      <c r="J55" s="7" t="n">
        <v>1</v>
      </c>
      <c r="K55" s="7" t="n">
        <v>4</v>
      </c>
      <c r="L55" s="7" t="n">
        <v>3</v>
      </c>
      <c r="M55" s="9"/>
      <c r="N55" s="7" t="n">
        <v>2</v>
      </c>
      <c r="O55" s="7" t="n">
        <v>4</v>
      </c>
      <c r="P55" s="7" t="n">
        <v>3</v>
      </c>
      <c r="Q55" s="7" t="n">
        <v>4</v>
      </c>
      <c r="R55" s="7" t="n">
        <v>4</v>
      </c>
      <c r="S55" s="7" t="n">
        <v>3</v>
      </c>
      <c r="T55" s="7" t="n">
        <v>3</v>
      </c>
      <c r="U55" s="7" t="n">
        <v>5</v>
      </c>
      <c r="V55" s="7" t="n">
        <v>4</v>
      </c>
      <c r="W55" s="7" t="n">
        <v>3</v>
      </c>
      <c r="X55" s="7" t="n">
        <v>5</v>
      </c>
      <c r="Y55" s="7" t="n">
        <v>4</v>
      </c>
      <c r="Z55" s="7" t="n">
        <v>3</v>
      </c>
      <c r="AA55" s="7" t="n">
        <v>2</v>
      </c>
      <c r="AB55" s="7" t="n">
        <v>3</v>
      </c>
      <c r="AC55" s="7" t="n">
        <v>3</v>
      </c>
      <c r="AD55" s="7" t="n">
        <v>3</v>
      </c>
      <c r="AE55" s="7" t="n">
        <v>4</v>
      </c>
      <c r="AF55" s="7" t="n">
        <v>4</v>
      </c>
      <c r="AG55" s="7" t="n">
        <v>3</v>
      </c>
      <c r="AH55" s="7" t="n">
        <v>3</v>
      </c>
      <c r="AI55" s="7" t="n">
        <v>4</v>
      </c>
      <c r="AJ55" s="9"/>
      <c r="AK55" s="7" t="n">
        <v>3</v>
      </c>
      <c r="AL55" s="7" t="n">
        <v>2</v>
      </c>
      <c r="AM55" s="7" t="n">
        <v>1</v>
      </c>
      <c r="AN55" s="7" t="n">
        <v>2</v>
      </c>
      <c r="AO55" s="16" t="n">
        <f aca="false">MAX(E55:K55)</f>
        <v>4</v>
      </c>
      <c r="AP55" s="17" t="n">
        <f aca="false">AVERAGE(N55:R55)</f>
        <v>3.4</v>
      </c>
      <c r="AQ55" s="17" t="n">
        <f aca="false">AVERAGE(S55:V55)</f>
        <v>3.75</v>
      </c>
      <c r="AR55" s="17" t="n">
        <f aca="false">AVERAGE(W55,X55,Z55,AB55)</f>
        <v>3.5</v>
      </c>
      <c r="AS55" s="17" t="n">
        <f aca="false">AVERAGE(AC55:AF55)</f>
        <v>3.5</v>
      </c>
      <c r="AT55" s="17" t="n">
        <f aca="false">AVERAGE(Y55,AA55,AG55:AM55)</f>
        <v>2.75</v>
      </c>
      <c r="AU55" s="18" t="n">
        <f aca="false">(AO55+AP55+AQ55+AR55+AS55+(6-AT55))/6</f>
        <v>3.56666666666667</v>
      </c>
      <c r="AV55" s="7" t="s">
        <v>1033</v>
      </c>
      <c r="AW55" s="7" t="s">
        <v>1030</v>
      </c>
      <c r="AX55" s="7" t="n">
        <v>3</v>
      </c>
      <c r="AY55" s="8"/>
    </row>
    <row r="56" customFormat="false" ht="22.35" hidden="false" customHeight="false" outlineLevel="0" collapsed="false">
      <c r="A56" s="7" t="n">
        <v>333</v>
      </c>
      <c r="B56" s="8" t="s">
        <v>518</v>
      </c>
      <c r="C56" s="8" t="s">
        <v>527</v>
      </c>
      <c r="D56" s="8" t="s">
        <v>491</v>
      </c>
      <c r="E56" s="7" t="n">
        <v>1</v>
      </c>
      <c r="F56" s="7" t="n">
        <v>1</v>
      </c>
      <c r="G56" s="7" t="n">
        <v>1</v>
      </c>
      <c r="H56" s="7" t="n">
        <v>3</v>
      </c>
      <c r="I56" s="7" t="n">
        <v>2</v>
      </c>
      <c r="J56" s="7" t="n">
        <v>1</v>
      </c>
      <c r="K56" s="7" t="n">
        <v>2</v>
      </c>
      <c r="L56" s="7" t="n">
        <v>5</v>
      </c>
      <c r="M56" s="9"/>
      <c r="N56" s="7" t="n">
        <v>2</v>
      </c>
      <c r="O56" s="7" t="n">
        <v>4</v>
      </c>
      <c r="P56" s="7" t="n">
        <v>3</v>
      </c>
      <c r="Q56" s="7" t="n">
        <v>4</v>
      </c>
      <c r="R56" s="7" t="n">
        <v>4</v>
      </c>
      <c r="S56" s="7" t="n">
        <v>3</v>
      </c>
      <c r="T56" s="7" t="n">
        <v>3</v>
      </c>
      <c r="U56" s="7" t="n">
        <v>5</v>
      </c>
      <c r="V56" s="7" t="n">
        <v>5</v>
      </c>
      <c r="W56" s="7" t="n">
        <v>3</v>
      </c>
      <c r="X56" s="7" t="n">
        <v>5</v>
      </c>
      <c r="Y56" s="7" t="n">
        <v>2</v>
      </c>
      <c r="Z56" s="7" t="n">
        <v>4</v>
      </c>
      <c r="AA56" s="7" t="n">
        <v>2</v>
      </c>
      <c r="AB56" s="7" t="n">
        <v>3</v>
      </c>
      <c r="AC56" s="7" t="n">
        <v>3</v>
      </c>
      <c r="AD56" s="7" t="n">
        <v>3</v>
      </c>
      <c r="AE56" s="7" t="n">
        <v>5</v>
      </c>
      <c r="AF56" s="7" t="n">
        <v>3</v>
      </c>
      <c r="AG56" s="7" t="n">
        <v>3</v>
      </c>
      <c r="AH56" s="7" t="n">
        <v>2</v>
      </c>
      <c r="AI56" s="7" t="n">
        <v>4</v>
      </c>
      <c r="AJ56" s="9"/>
      <c r="AK56" s="7" t="n">
        <v>2</v>
      </c>
      <c r="AL56" s="7" t="n">
        <v>2</v>
      </c>
      <c r="AM56" s="7" t="n">
        <v>1</v>
      </c>
      <c r="AN56" s="7" t="n">
        <v>3</v>
      </c>
      <c r="AO56" s="16" t="n">
        <f aca="false">MAX(E56:K56)</f>
        <v>3</v>
      </c>
      <c r="AP56" s="17" t="n">
        <f aca="false">AVERAGE(N56:R56)</f>
        <v>3.4</v>
      </c>
      <c r="AQ56" s="17" t="n">
        <f aca="false">AVERAGE(S56:V56)</f>
        <v>4</v>
      </c>
      <c r="AR56" s="17" t="n">
        <f aca="false">AVERAGE(W56,X56,Z56,AB56)</f>
        <v>3.75</v>
      </c>
      <c r="AS56" s="17" t="n">
        <f aca="false">AVERAGE(AC56:AF56)</f>
        <v>3.5</v>
      </c>
      <c r="AT56" s="17" t="n">
        <f aca="false">AVERAGE(Y56,AA56,AG56:AM56)</f>
        <v>2.25</v>
      </c>
      <c r="AU56" s="18" t="n">
        <f aca="false">(AO56+AP56+AQ56+AR56+AS56+(6-AT56))/6</f>
        <v>3.56666666666667</v>
      </c>
      <c r="AV56" s="7" t="s">
        <v>1029</v>
      </c>
      <c r="AW56" s="7" t="s">
        <v>1030</v>
      </c>
      <c r="AX56" s="7" t="n">
        <v>3</v>
      </c>
      <c r="AY56" s="8"/>
    </row>
    <row r="57" customFormat="false" ht="15" hidden="false" customHeight="false" outlineLevel="0" collapsed="false">
      <c r="A57" s="7" t="n">
        <v>334</v>
      </c>
      <c r="B57" s="8" t="s">
        <v>765</v>
      </c>
      <c r="C57" s="8" t="s">
        <v>766</v>
      </c>
      <c r="D57" s="8" t="s">
        <v>737</v>
      </c>
      <c r="E57" s="7" t="n">
        <v>1</v>
      </c>
      <c r="F57" s="7" t="n">
        <v>1</v>
      </c>
      <c r="G57" s="7" t="n">
        <v>1</v>
      </c>
      <c r="H57" s="7" t="n">
        <v>1</v>
      </c>
      <c r="I57" s="7" t="n">
        <v>1</v>
      </c>
      <c r="J57" s="7" t="n">
        <v>1</v>
      </c>
      <c r="K57" s="7" t="n">
        <v>1</v>
      </c>
      <c r="L57" s="7" t="n">
        <v>2</v>
      </c>
      <c r="M57" s="9"/>
      <c r="N57" s="7" t="n">
        <v>5</v>
      </c>
      <c r="O57" s="7" t="n">
        <v>1</v>
      </c>
      <c r="P57" s="7" t="n">
        <v>3</v>
      </c>
      <c r="Q57" s="7" t="n">
        <v>4</v>
      </c>
      <c r="R57" s="7" t="n">
        <v>2</v>
      </c>
      <c r="S57" s="7" t="n">
        <v>2</v>
      </c>
      <c r="T57" s="7" t="n">
        <v>2</v>
      </c>
      <c r="U57" s="7" t="n">
        <v>4</v>
      </c>
      <c r="V57" s="7" t="n">
        <v>3</v>
      </c>
      <c r="W57" s="7" t="n">
        <v>1</v>
      </c>
      <c r="X57" s="7" t="n">
        <v>2</v>
      </c>
      <c r="Y57" s="7" t="n">
        <v>1</v>
      </c>
      <c r="Z57" s="7" t="n">
        <v>1</v>
      </c>
      <c r="AA57" s="7" t="n">
        <v>5</v>
      </c>
      <c r="AB57" s="7" t="n">
        <v>3</v>
      </c>
      <c r="AC57" s="7" t="n">
        <v>2</v>
      </c>
      <c r="AD57" s="7" t="n">
        <v>4</v>
      </c>
      <c r="AE57" s="7" t="n">
        <v>4</v>
      </c>
      <c r="AF57" s="7" t="n">
        <v>3</v>
      </c>
      <c r="AG57" s="7" t="n">
        <v>4</v>
      </c>
      <c r="AH57" s="7" t="n">
        <v>4</v>
      </c>
      <c r="AI57" s="7" t="n">
        <v>2</v>
      </c>
      <c r="AJ57" s="9"/>
      <c r="AK57" s="7" t="n">
        <v>5</v>
      </c>
      <c r="AL57" s="7" t="n">
        <v>3</v>
      </c>
      <c r="AM57" s="7" t="n">
        <v>2</v>
      </c>
      <c r="AN57" s="7" t="n">
        <v>2</v>
      </c>
      <c r="AO57" s="16" t="n">
        <f aca="false">MAX(E57:K57)</f>
        <v>1</v>
      </c>
      <c r="AP57" s="17" t="n">
        <f aca="false">AVERAGE(N57:R57)</f>
        <v>3</v>
      </c>
      <c r="AQ57" s="17" t="n">
        <f aca="false">AVERAGE(S57:V57)</f>
        <v>2.75</v>
      </c>
      <c r="AR57" s="17" t="n">
        <f aca="false">AVERAGE(W57,X57,Z57,AB57)</f>
        <v>1.75</v>
      </c>
      <c r="AS57" s="17" t="n">
        <f aca="false">AVERAGE(AC57:AF57)</f>
        <v>3.25</v>
      </c>
      <c r="AT57" s="17" t="n">
        <f aca="false">AVERAGE(Y57,AA57,AG57:AM57)</f>
        <v>3.25</v>
      </c>
      <c r="AU57" s="18" t="n">
        <f aca="false">(AO57+AP57+AQ57+AR57+AS57+(6-AT57))/6</f>
        <v>2.41666666666667</v>
      </c>
      <c r="AV57" s="7" t="s">
        <v>1030</v>
      </c>
      <c r="AW57" s="7" t="s">
        <v>1030</v>
      </c>
      <c r="AX57" s="7" t="n">
        <v>1</v>
      </c>
      <c r="AY57" s="8" t="s">
        <v>1031</v>
      </c>
    </row>
    <row r="58" customFormat="false" ht="22.35" hidden="false" customHeight="false" outlineLevel="0" collapsed="false">
      <c r="A58" s="7" t="n">
        <v>337</v>
      </c>
      <c r="B58" s="8" t="s">
        <v>657</v>
      </c>
      <c r="C58" s="8" t="s">
        <v>1047</v>
      </c>
      <c r="D58" s="8" t="s">
        <v>642</v>
      </c>
      <c r="E58" s="7" t="n">
        <v>1</v>
      </c>
      <c r="F58" s="7" t="n">
        <v>1</v>
      </c>
      <c r="G58" s="7" t="n">
        <v>1</v>
      </c>
      <c r="H58" s="7" t="n">
        <v>1</v>
      </c>
      <c r="I58" s="7" t="n">
        <v>4</v>
      </c>
      <c r="J58" s="7" t="n">
        <v>1</v>
      </c>
      <c r="K58" s="7" t="n">
        <v>1</v>
      </c>
      <c r="L58" s="7" t="n">
        <v>4</v>
      </c>
      <c r="M58" s="9"/>
      <c r="N58" s="7" t="n">
        <v>3</v>
      </c>
      <c r="O58" s="7" t="n">
        <v>4</v>
      </c>
      <c r="P58" s="7" t="n">
        <v>3</v>
      </c>
      <c r="Q58" s="7" t="n">
        <v>3</v>
      </c>
      <c r="R58" s="7" t="n">
        <v>2</v>
      </c>
      <c r="S58" s="7" t="n">
        <v>4</v>
      </c>
      <c r="T58" s="7" t="n">
        <v>3</v>
      </c>
      <c r="U58" s="7" t="n">
        <v>4</v>
      </c>
      <c r="V58" s="7" t="n">
        <v>4</v>
      </c>
      <c r="W58" s="7" t="n">
        <v>2</v>
      </c>
      <c r="X58" s="7" t="n">
        <v>3</v>
      </c>
      <c r="Y58" s="7" t="n">
        <v>5</v>
      </c>
      <c r="Z58" s="7" t="n">
        <v>1</v>
      </c>
      <c r="AA58" s="7" t="n">
        <v>5</v>
      </c>
      <c r="AB58" s="7" t="n">
        <v>3</v>
      </c>
      <c r="AC58" s="7" t="n">
        <v>1</v>
      </c>
      <c r="AD58" s="7" t="n">
        <v>4</v>
      </c>
      <c r="AE58" s="7" t="n">
        <v>4</v>
      </c>
      <c r="AF58" s="7" t="n">
        <v>3</v>
      </c>
      <c r="AG58" s="7" t="n">
        <v>5</v>
      </c>
      <c r="AH58" s="7" t="n">
        <v>5</v>
      </c>
      <c r="AI58" s="7" t="n">
        <v>5</v>
      </c>
      <c r="AJ58" s="9"/>
      <c r="AK58" s="7" t="n">
        <v>5</v>
      </c>
      <c r="AL58" s="7" t="n">
        <v>2</v>
      </c>
      <c r="AM58" s="7" t="n">
        <v>2</v>
      </c>
      <c r="AN58" s="7" t="n">
        <v>3</v>
      </c>
      <c r="AO58" s="16" t="n">
        <f aca="false">MAX(E58:K58)</f>
        <v>4</v>
      </c>
      <c r="AP58" s="17" t="n">
        <f aca="false">AVERAGE(N58:R58)</f>
        <v>3</v>
      </c>
      <c r="AQ58" s="17" t="n">
        <f aca="false">AVERAGE(S58:V58)</f>
        <v>3.75</v>
      </c>
      <c r="AR58" s="17" t="n">
        <f aca="false">AVERAGE(W58,X58,Z58,AB58)</f>
        <v>2.25</v>
      </c>
      <c r="AS58" s="17" t="n">
        <f aca="false">AVERAGE(AC58:AF58)</f>
        <v>3</v>
      </c>
      <c r="AT58" s="17" t="n">
        <f aca="false">AVERAGE(Y58,AA58,AG58:AM58)</f>
        <v>4.25</v>
      </c>
      <c r="AU58" s="18" t="n">
        <f aca="false">(AO58+AP58+AQ58+AR58+AS58+(6-AT58))/6</f>
        <v>2.95833333333333</v>
      </c>
      <c r="AV58" s="7" t="s">
        <v>1029</v>
      </c>
      <c r="AW58" s="7" t="s">
        <v>1030</v>
      </c>
      <c r="AX58" s="7" t="n">
        <v>2</v>
      </c>
      <c r="AY58" s="8" t="s">
        <v>1031</v>
      </c>
    </row>
    <row r="59" customFormat="false" ht="22.35" hidden="false" customHeight="false" outlineLevel="0" collapsed="false">
      <c r="A59" s="7" t="n">
        <v>338</v>
      </c>
      <c r="B59" s="8" t="s">
        <v>388</v>
      </c>
      <c r="C59" s="8" t="s">
        <v>532</v>
      </c>
      <c r="D59" s="8" t="s">
        <v>491</v>
      </c>
      <c r="E59" s="7" t="n">
        <v>1</v>
      </c>
      <c r="F59" s="7" t="n">
        <v>1</v>
      </c>
      <c r="G59" s="7" t="n">
        <v>1</v>
      </c>
      <c r="H59" s="7" t="n">
        <v>4</v>
      </c>
      <c r="I59" s="7" t="n">
        <v>2</v>
      </c>
      <c r="J59" s="7" t="n">
        <v>1</v>
      </c>
      <c r="K59" s="7" t="n">
        <v>1</v>
      </c>
      <c r="L59" s="7" t="n">
        <v>3</v>
      </c>
      <c r="M59" s="9"/>
      <c r="N59" s="7" t="n">
        <v>5</v>
      </c>
      <c r="O59" s="7" t="n">
        <v>3</v>
      </c>
      <c r="P59" s="7" t="n">
        <v>3</v>
      </c>
      <c r="Q59" s="7" t="n">
        <v>3</v>
      </c>
      <c r="R59" s="7" t="n">
        <v>2</v>
      </c>
      <c r="S59" s="7" t="n">
        <v>3</v>
      </c>
      <c r="T59" s="7" t="n">
        <v>3</v>
      </c>
      <c r="U59" s="7" t="n">
        <v>5</v>
      </c>
      <c r="V59" s="7" t="n">
        <v>3</v>
      </c>
      <c r="W59" s="7" t="n">
        <v>3</v>
      </c>
      <c r="X59" s="7" t="n">
        <v>2</v>
      </c>
      <c r="Y59" s="7" t="n">
        <v>4</v>
      </c>
      <c r="Z59" s="7" t="n">
        <v>3</v>
      </c>
      <c r="AA59" s="7" t="n">
        <v>3</v>
      </c>
      <c r="AB59" s="7" t="n">
        <v>3</v>
      </c>
      <c r="AC59" s="7" t="n">
        <v>3</v>
      </c>
      <c r="AD59" s="7" t="n">
        <v>3</v>
      </c>
      <c r="AE59" s="7" t="n">
        <v>3</v>
      </c>
      <c r="AF59" s="7" t="n">
        <v>4</v>
      </c>
      <c r="AG59" s="7" t="n">
        <v>3</v>
      </c>
      <c r="AH59" s="7" t="n">
        <v>3</v>
      </c>
      <c r="AI59" s="7" t="n">
        <v>3</v>
      </c>
      <c r="AJ59" s="9"/>
      <c r="AK59" s="7" t="n">
        <v>3</v>
      </c>
      <c r="AL59" s="7" t="n">
        <v>2</v>
      </c>
      <c r="AM59" s="7" t="n">
        <v>3</v>
      </c>
      <c r="AN59" s="7" t="n">
        <v>3</v>
      </c>
      <c r="AO59" s="16" t="n">
        <f aca="false">MAX(E59:K59)</f>
        <v>4</v>
      </c>
      <c r="AP59" s="17" t="n">
        <f aca="false">AVERAGE(N59:R59)</f>
        <v>3.2</v>
      </c>
      <c r="AQ59" s="17" t="n">
        <f aca="false">AVERAGE(S59:V59)</f>
        <v>3.5</v>
      </c>
      <c r="AR59" s="17" t="n">
        <f aca="false">AVERAGE(W59,X59,Z59,AB59)</f>
        <v>2.75</v>
      </c>
      <c r="AS59" s="17" t="n">
        <f aca="false">AVERAGE(AC59:AF59)</f>
        <v>3.25</v>
      </c>
      <c r="AT59" s="17" t="n">
        <f aca="false">AVERAGE(Y59,AA59,AG59:AM59)</f>
        <v>3</v>
      </c>
      <c r="AU59" s="18" t="n">
        <f aca="false">(AO59+AP59+AQ59+AR59+AS59+(6-AT59))/6</f>
        <v>3.28333333333333</v>
      </c>
      <c r="AV59" s="7" t="s">
        <v>1033</v>
      </c>
      <c r="AW59" s="7" t="s">
        <v>1030</v>
      </c>
      <c r="AX59" s="7" t="n">
        <v>3</v>
      </c>
      <c r="AY59" s="8"/>
    </row>
    <row r="60" customFormat="false" ht="22.35" hidden="false" customHeight="false" outlineLevel="0" collapsed="false">
      <c r="A60" s="7" t="n">
        <v>339</v>
      </c>
      <c r="B60" s="8" t="s">
        <v>435</v>
      </c>
      <c r="C60" s="8" t="s">
        <v>436</v>
      </c>
      <c r="D60" s="8" t="s">
        <v>409</v>
      </c>
      <c r="E60" s="7" t="n">
        <v>1</v>
      </c>
      <c r="F60" s="7" t="n">
        <v>1</v>
      </c>
      <c r="G60" s="7" t="n">
        <v>1</v>
      </c>
      <c r="H60" s="7" t="n">
        <v>1</v>
      </c>
      <c r="I60" s="7" t="n">
        <v>2</v>
      </c>
      <c r="J60" s="7" t="n">
        <v>1</v>
      </c>
      <c r="K60" s="7" t="n">
        <v>3</v>
      </c>
      <c r="L60" s="7" t="n">
        <v>4</v>
      </c>
      <c r="M60" s="9"/>
      <c r="N60" s="7" t="n">
        <v>4</v>
      </c>
      <c r="O60" s="7" t="n">
        <v>2</v>
      </c>
      <c r="P60" s="7" t="n">
        <v>3</v>
      </c>
      <c r="Q60" s="7" t="n">
        <v>3</v>
      </c>
      <c r="R60" s="7" t="n">
        <v>4</v>
      </c>
      <c r="S60" s="7" t="n">
        <v>2</v>
      </c>
      <c r="T60" s="7" t="n">
        <v>2</v>
      </c>
      <c r="U60" s="7" t="n">
        <v>3</v>
      </c>
      <c r="V60" s="7" t="n">
        <v>4</v>
      </c>
      <c r="W60" s="19" t="n">
        <v>3</v>
      </c>
      <c r="X60" s="7" t="n">
        <v>5</v>
      </c>
      <c r="Y60" s="7" t="n">
        <v>2</v>
      </c>
      <c r="Z60" s="7" t="n">
        <v>3</v>
      </c>
      <c r="AA60" s="7" t="n">
        <v>3</v>
      </c>
      <c r="AB60" s="7" t="n">
        <v>3</v>
      </c>
      <c r="AC60" s="7" t="n">
        <v>3</v>
      </c>
      <c r="AD60" s="7" t="n">
        <v>4</v>
      </c>
      <c r="AE60" s="7" t="n">
        <v>3</v>
      </c>
      <c r="AF60" s="7" t="n">
        <v>4</v>
      </c>
      <c r="AG60" s="7" t="n">
        <v>3</v>
      </c>
      <c r="AH60" s="7" t="n">
        <v>3</v>
      </c>
      <c r="AI60" s="7" t="n">
        <v>4</v>
      </c>
      <c r="AJ60" s="9"/>
      <c r="AK60" s="7" t="n">
        <v>2</v>
      </c>
      <c r="AL60" s="7" t="n">
        <v>2</v>
      </c>
      <c r="AM60" s="7" t="n">
        <v>1</v>
      </c>
      <c r="AN60" s="7" t="n">
        <v>2</v>
      </c>
      <c r="AO60" s="16" t="n">
        <f aca="false">MAX(E60:K60)</f>
        <v>3</v>
      </c>
      <c r="AP60" s="17" t="n">
        <f aca="false">AVERAGE(N60:R60)</f>
        <v>3.2</v>
      </c>
      <c r="AQ60" s="17" t="n">
        <f aca="false">AVERAGE(S60:V60)</f>
        <v>2.75</v>
      </c>
      <c r="AR60" s="17" t="n">
        <f aca="false">AVERAGE(W60,X60,Z60,AB60)</f>
        <v>3.5</v>
      </c>
      <c r="AS60" s="17" t="n">
        <f aca="false">AVERAGE(AC60:AF60)</f>
        <v>3.5</v>
      </c>
      <c r="AT60" s="17" t="n">
        <f aca="false">AVERAGE(Y60,AA60,AG60:AM60)</f>
        <v>2.5</v>
      </c>
      <c r="AU60" s="18" t="n">
        <f aca="false">(AO60+AP60+AQ60+AR60+AS60+(6-AT60))/6</f>
        <v>3.24166666666667</v>
      </c>
      <c r="AV60" s="7" t="s">
        <v>1029</v>
      </c>
      <c r="AW60" s="7" t="s">
        <v>1030</v>
      </c>
      <c r="AX60" s="20" t="s">
        <v>1035</v>
      </c>
      <c r="AY60" s="8"/>
    </row>
    <row r="61" customFormat="false" ht="15" hidden="false" customHeight="false" outlineLevel="0" collapsed="false">
      <c r="A61" s="7" t="n">
        <v>340</v>
      </c>
      <c r="B61" s="8" t="s">
        <v>776</v>
      </c>
      <c r="C61" s="8" t="s">
        <v>777</v>
      </c>
      <c r="D61" s="8" t="s">
        <v>737</v>
      </c>
      <c r="E61" s="7" t="n">
        <v>1</v>
      </c>
      <c r="F61" s="7" t="n">
        <v>1</v>
      </c>
      <c r="G61" s="7" t="n">
        <v>1</v>
      </c>
      <c r="H61" s="7" t="n">
        <v>1</v>
      </c>
      <c r="I61" s="7" t="n">
        <v>1</v>
      </c>
      <c r="J61" s="7" t="n">
        <v>1</v>
      </c>
      <c r="K61" s="7" t="n">
        <v>1</v>
      </c>
      <c r="L61" s="7" t="n">
        <v>3</v>
      </c>
      <c r="M61" s="9"/>
      <c r="N61" s="7" t="n">
        <v>3</v>
      </c>
      <c r="O61" s="7" t="n">
        <v>2</v>
      </c>
      <c r="P61" s="7" t="n">
        <v>3</v>
      </c>
      <c r="Q61" s="7" t="n">
        <v>4</v>
      </c>
      <c r="R61" s="7" t="n">
        <v>4</v>
      </c>
      <c r="S61" s="7" t="n">
        <v>3</v>
      </c>
      <c r="T61" s="7" t="n">
        <v>2</v>
      </c>
      <c r="U61" s="7" t="n">
        <v>4</v>
      </c>
      <c r="V61" s="7" t="n">
        <v>4</v>
      </c>
      <c r="W61" s="7" t="n">
        <v>1</v>
      </c>
      <c r="X61" s="7" t="n">
        <v>4</v>
      </c>
      <c r="Y61" s="7" t="n">
        <v>1</v>
      </c>
      <c r="Z61" s="7" t="n">
        <v>1</v>
      </c>
      <c r="AA61" s="7" t="n">
        <v>3</v>
      </c>
      <c r="AB61" s="7" t="n">
        <v>3</v>
      </c>
      <c r="AC61" s="7" t="n">
        <v>3</v>
      </c>
      <c r="AD61" s="7" t="n">
        <v>3</v>
      </c>
      <c r="AE61" s="7" t="n">
        <v>4</v>
      </c>
      <c r="AF61" s="7" t="n">
        <v>3</v>
      </c>
      <c r="AG61" s="7" t="n">
        <v>3</v>
      </c>
      <c r="AH61" s="7" t="n">
        <v>3</v>
      </c>
      <c r="AI61" s="7" t="n">
        <v>1</v>
      </c>
      <c r="AJ61" s="9"/>
      <c r="AK61" s="7" t="n">
        <v>3</v>
      </c>
      <c r="AL61" s="7" t="n">
        <v>3</v>
      </c>
      <c r="AM61" s="7" t="n">
        <v>1</v>
      </c>
      <c r="AN61" s="7" t="n">
        <v>3</v>
      </c>
      <c r="AO61" s="16" t="n">
        <f aca="false">MAX(E61:K61)</f>
        <v>1</v>
      </c>
      <c r="AP61" s="17" t="n">
        <f aca="false">AVERAGE(N61:R61)</f>
        <v>3.2</v>
      </c>
      <c r="AQ61" s="17" t="n">
        <f aca="false">AVERAGE(S61:V61)</f>
        <v>3.25</v>
      </c>
      <c r="AR61" s="17" t="n">
        <f aca="false">AVERAGE(W61,X61,Z61,AB61)</f>
        <v>2.25</v>
      </c>
      <c r="AS61" s="17" t="n">
        <f aca="false">AVERAGE(AC61:AF61)</f>
        <v>3.25</v>
      </c>
      <c r="AT61" s="17" t="n">
        <f aca="false">AVERAGE(Y61,AA61,AG61:AM61)</f>
        <v>2.25</v>
      </c>
      <c r="AU61" s="18" t="n">
        <f aca="false">(AO61+AP61+AQ61+AR61+AS61+(6-AT61))/6</f>
        <v>2.78333333333333</v>
      </c>
      <c r="AV61" s="7" t="s">
        <v>1029</v>
      </c>
      <c r="AW61" s="7" t="s">
        <v>1030</v>
      </c>
      <c r="AX61" s="7" t="n">
        <v>1</v>
      </c>
      <c r="AY61" s="8" t="s">
        <v>1048</v>
      </c>
    </row>
    <row r="62" customFormat="false" ht="22.35" hidden="false" customHeight="false" outlineLevel="0" collapsed="false">
      <c r="A62" s="7" t="n">
        <v>341</v>
      </c>
      <c r="B62" s="8" t="s">
        <v>850</v>
      </c>
      <c r="C62" s="8" t="s">
        <v>1049</v>
      </c>
      <c r="D62" s="8" t="s">
        <v>814</v>
      </c>
      <c r="E62" s="7" t="n">
        <v>1</v>
      </c>
      <c r="F62" s="7" t="n">
        <v>1</v>
      </c>
      <c r="G62" s="7" t="n">
        <v>2</v>
      </c>
      <c r="H62" s="7" t="n">
        <v>3</v>
      </c>
      <c r="I62" s="7" t="n">
        <v>2</v>
      </c>
      <c r="J62" s="7" t="n">
        <v>1</v>
      </c>
      <c r="K62" s="7" t="n">
        <v>1</v>
      </c>
      <c r="L62" s="7" t="n">
        <v>3</v>
      </c>
      <c r="M62" s="9"/>
      <c r="N62" s="7" t="n">
        <v>5</v>
      </c>
      <c r="O62" s="7" t="n">
        <v>3</v>
      </c>
      <c r="P62" s="7" t="n">
        <v>3</v>
      </c>
      <c r="Q62" s="7" t="n">
        <v>2</v>
      </c>
      <c r="R62" s="7" t="n">
        <v>2</v>
      </c>
      <c r="S62" s="7" t="n">
        <v>3</v>
      </c>
      <c r="T62" s="7" t="n">
        <v>3</v>
      </c>
      <c r="U62" s="7" t="n">
        <v>3</v>
      </c>
      <c r="V62" s="7" t="n">
        <v>4</v>
      </c>
      <c r="W62" s="7" t="n">
        <v>3</v>
      </c>
      <c r="X62" s="7" t="n">
        <v>5</v>
      </c>
      <c r="Y62" s="7" t="n">
        <v>1</v>
      </c>
      <c r="Z62" s="7" t="n">
        <v>4</v>
      </c>
      <c r="AA62" s="7" t="n">
        <v>3</v>
      </c>
      <c r="AB62" s="7" t="n">
        <v>3</v>
      </c>
      <c r="AC62" s="7" t="n">
        <v>3</v>
      </c>
      <c r="AD62" s="7" t="n">
        <v>3</v>
      </c>
      <c r="AE62" s="7" t="n">
        <v>3</v>
      </c>
      <c r="AF62" s="7" t="n">
        <v>3</v>
      </c>
      <c r="AG62" s="7" t="n">
        <v>2</v>
      </c>
      <c r="AH62" s="7" t="n">
        <v>2</v>
      </c>
      <c r="AI62" s="7" t="n">
        <v>3</v>
      </c>
      <c r="AJ62" s="9"/>
      <c r="AK62" s="7" t="n">
        <v>1</v>
      </c>
      <c r="AL62" s="7" t="n">
        <v>2</v>
      </c>
      <c r="AM62" s="7" t="n">
        <v>2</v>
      </c>
      <c r="AN62" s="7" t="n">
        <v>2</v>
      </c>
      <c r="AO62" s="16" t="n">
        <f aca="false">MAX(E62:K62)</f>
        <v>3</v>
      </c>
      <c r="AP62" s="17" t="n">
        <f aca="false">AVERAGE(N62:R62)</f>
        <v>3</v>
      </c>
      <c r="AQ62" s="17" t="n">
        <f aca="false">AVERAGE(S62:V62)</f>
        <v>3.25</v>
      </c>
      <c r="AR62" s="17" t="n">
        <f aca="false">AVERAGE(W62,X62,Z62,AB62)</f>
        <v>3.75</v>
      </c>
      <c r="AS62" s="17" t="n">
        <f aca="false">AVERAGE(AC62:AF62)</f>
        <v>3</v>
      </c>
      <c r="AT62" s="17" t="n">
        <f aca="false">AVERAGE(Y62,AA62,AG62:AM62)</f>
        <v>2</v>
      </c>
      <c r="AU62" s="18" t="n">
        <f aca="false">(AO62+AP62+AQ62+AR62+AS62+(6-AT62))/6</f>
        <v>3.33333333333333</v>
      </c>
      <c r="AV62" s="7" t="s">
        <v>1029</v>
      </c>
      <c r="AW62" s="7" t="s">
        <v>1030</v>
      </c>
      <c r="AX62" s="7" t="n">
        <v>3</v>
      </c>
      <c r="AY62" s="8"/>
    </row>
    <row r="63" customFormat="false" ht="22.35" hidden="false" customHeight="false" outlineLevel="0" collapsed="false">
      <c r="A63" s="7" t="n">
        <v>342</v>
      </c>
      <c r="B63" s="8" t="s">
        <v>426</v>
      </c>
      <c r="C63" s="8" t="s">
        <v>443</v>
      </c>
      <c r="D63" s="8" t="s">
        <v>409</v>
      </c>
      <c r="E63" s="7" t="n">
        <v>1</v>
      </c>
      <c r="F63" s="7" t="n">
        <v>1</v>
      </c>
      <c r="G63" s="7" t="n">
        <v>1</v>
      </c>
      <c r="H63" s="7" t="n">
        <v>2</v>
      </c>
      <c r="I63" s="7" t="n">
        <v>2</v>
      </c>
      <c r="J63" s="7" t="n">
        <v>1</v>
      </c>
      <c r="K63" s="7" t="n">
        <v>4</v>
      </c>
      <c r="L63" s="7" t="n">
        <v>5</v>
      </c>
      <c r="M63" s="9"/>
      <c r="N63" s="7" t="n">
        <v>4</v>
      </c>
      <c r="O63" s="7" t="n">
        <v>3</v>
      </c>
      <c r="P63" s="7" t="n">
        <v>5</v>
      </c>
      <c r="Q63" s="7" t="n">
        <v>4</v>
      </c>
      <c r="R63" s="7" t="n">
        <v>5</v>
      </c>
      <c r="S63" s="7" t="n">
        <v>2</v>
      </c>
      <c r="T63" s="7" t="n">
        <v>3</v>
      </c>
      <c r="U63" s="7" t="n">
        <v>4</v>
      </c>
      <c r="V63" s="7" t="n">
        <v>5</v>
      </c>
      <c r="W63" s="19" t="n">
        <v>3</v>
      </c>
      <c r="X63" s="7" t="n">
        <v>5</v>
      </c>
      <c r="Y63" s="7" t="n">
        <v>3</v>
      </c>
      <c r="Z63" s="7" t="n">
        <v>3</v>
      </c>
      <c r="AA63" s="7" t="n">
        <v>3</v>
      </c>
      <c r="AB63" s="7" t="n">
        <v>4</v>
      </c>
      <c r="AC63" s="7" t="n">
        <v>4</v>
      </c>
      <c r="AD63" s="7" t="n">
        <v>5</v>
      </c>
      <c r="AE63" s="7" t="n">
        <v>4</v>
      </c>
      <c r="AF63" s="7" t="n">
        <v>4</v>
      </c>
      <c r="AG63" s="7" t="n">
        <v>4</v>
      </c>
      <c r="AH63" s="7" t="n">
        <v>4</v>
      </c>
      <c r="AI63" s="7" t="n">
        <v>3</v>
      </c>
      <c r="AJ63" s="9"/>
      <c r="AK63" s="7" t="n">
        <v>3</v>
      </c>
      <c r="AL63" s="7" t="n">
        <v>2</v>
      </c>
      <c r="AM63" s="7" t="n">
        <v>3</v>
      </c>
      <c r="AN63" s="7" t="n">
        <v>4</v>
      </c>
      <c r="AO63" s="16" t="n">
        <f aca="false">MAX(E63:K63)</f>
        <v>4</v>
      </c>
      <c r="AP63" s="17" t="n">
        <f aca="false">AVERAGE(N63:R63)</f>
        <v>4.2</v>
      </c>
      <c r="AQ63" s="17" t="n">
        <f aca="false">AVERAGE(S63:V63)</f>
        <v>3.5</v>
      </c>
      <c r="AR63" s="17" t="n">
        <f aca="false">AVERAGE(W63,X63,Z63,AB63)</f>
        <v>3.75</v>
      </c>
      <c r="AS63" s="17" t="n">
        <f aca="false">AVERAGE(AC63:AF63)</f>
        <v>4.25</v>
      </c>
      <c r="AT63" s="17" t="n">
        <f aca="false">AVERAGE(Y63,AA63,AG63:AM63)</f>
        <v>3.125</v>
      </c>
      <c r="AU63" s="18" t="n">
        <f aca="false">(AO63+AP63+AQ63+AR63+AS63+(6-AT63))/6</f>
        <v>3.7625</v>
      </c>
      <c r="AV63" s="7" t="s">
        <v>1029</v>
      </c>
      <c r="AW63" s="7" t="s">
        <v>1033</v>
      </c>
      <c r="AX63" s="20" t="s">
        <v>1035</v>
      </c>
      <c r="AY63" s="8"/>
    </row>
    <row r="64" customFormat="false" ht="22.35" hidden="false" customHeight="false" outlineLevel="0" collapsed="false">
      <c r="A64" s="7" t="n">
        <v>343</v>
      </c>
      <c r="B64" s="8" t="s">
        <v>776</v>
      </c>
      <c r="C64" s="8" t="s">
        <v>1050</v>
      </c>
      <c r="D64" s="8" t="s">
        <v>737</v>
      </c>
      <c r="E64" s="7" t="n">
        <v>1</v>
      </c>
      <c r="F64" s="7" t="n">
        <v>1</v>
      </c>
      <c r="G64" s="7" t="n">
        <v>1</v>
      </c>
      <c r="H64" s="7" t="n">
        <v>2</v>
      </c>
      <c r="I64" s="7" t="n">
        <v>1</v>
      </c>
      <c r="J64" s="7" t="n">
        <v>1</v>
      </c>
      <c r="K64" s="7" t="n">
        <v>1</v>
      </c>
      <c r="L64" s="7" t="n">
        <v>4</v>
      </c>
      <c r="M64" s="9"/>
      <c r="N64" s="7" t="n">
        <v>3</v>
      </c>
      <c r="O64" s="7" t="n">
        <v>2</v>
      </c>
      <c r="P64" s="7" t="n">
        <v>3</v>
      </c>
      <c r="Q64" s="7" t="n">
        <v>3</v>
      </c>
      <c r="R64" s="7" t="n">
        <v>5</v>
      </c>
      <c r="S64" s="7" t="n">
        <v>3</v>
      </c>
      <c r="T64" s="7" t="n">
        <v>2</v>
      </c>
      <c r="U64" s="7" t="n">
        <v>3</v>
      </c>
      <c r="V64" s="7" t="n">
        <v>4</v>
      </c>
      <c r="W64" s="7" t="n">
        <v>2</v>
      </c>
      <c r="X64" s="7" t="n">
        <v>5</v>
      </c>
      <c r="Y64" s="7" t="n">
        <v>1</v>
      </c>
      <c r="Z64" s="7" t="n">
        <v>1</v>
      </c>
      <c r="AA64" s="7" t="n">
        <v>5</v>
      </c>
      <c r="AB64" s="7" t="n">
        <v>3</v>
      </c>
      <c r="AC64" s="7" t="n">
        <v>5</v>
      </c>
      <c r="AD64" s="7" t="n">
        <v>5</v>
      </c>
      <c r="AE64" s="7" t="n">
        <v>4</v>
      </c>
      <c r="AF64" s="7" t="n">
        <v>5</v>
      </c>
      <c r="AG64" s="7" t="n">
        <v>4</v>
      </c>
      <c r="AH64" s="7" t="n">
        <v>5</v>
      </c>
      <c r="AI64" s="7" t="n">
        <v>2</v>
      </c>
      <c r="AJ64" s="9"/>
      <c r="AK64" s="7" t="n">
        <v>2</v>
      </c>
      <c r="AL64" s="7" t="n">
        <v>2</v>
      </c>
      <c r="AM64" s="7" t="n">
        <v>1</v>
      </c>
      <c r="AN64" s="7" t="n">
        <v>2</v>
      </c>
      <c r="AO64" s="16" t="n">
        <f aca="false">MAX(E64:K64)</f>
        <v>2</v>
      </c>
      <c r="AP64" s="17" t="n">
        <f aca="false">AVERAGE(N64:R64)</f>
        <v>3.2</v>
      </c>
      <c r="AQ64" s="17" t="n">
        <f aca="false">AVERAGE(S64:V64)</f>
        <v>3</v>
      </c>
      <c r="AR64" s="17" t="n">
        <f aca="false">AVERAGE(W64,X64,Z64,AB64)</f>
        <v>2.75</v>
      </c>
      <c r="AS64" s="17" t="n">
        <f aca="false">AVERAGE(AC64:AF64)</f>
        <v>4.75</v>
      </c>
      <c r="AT64" s="17" t="n">
        <f aca="false">AVERAGE(Y64,AA64,AG64:AM64)</f>
        <v>2.75</v>
      </c>
      <c r="AU64" s="18" t="n">
        <f aca="false">(AO64+AP64+AQ64+AR64+AS64+(6-AT64))/6</f>
        <v>3.15833333333333</v>
      </c>
      <c r="AV64" s="7" t="s">
        <v>1029</v>
      </c>
      <c r="AW64" s="7" t="s">
        <v>1030</v>
      </c>
      <c r="AX64" s="7" t="n">
        <v>2</v>
      </c>
      <c r="AY64" s="8" t="s">
        <v>1051</v>
      </c>
    </row>
    <row r="65" customFormat="false" ht="22.35" hidden="false" customHeight="false" outlineLevel="0" collapsed="false">
      <c r="A65" s="7" t="n">
        <v>344</v>
      </c>
      <c r="B65" s="8" t="s">
        <v>435</v>
      </c>
      <c r="C65" s="8" t="s">
        <v>450</v>
      </c>
      <c r="D65" s="8" t="s">
        <v>409</v>
      </c>
      <c r="E65" s="7" t="n">
        <v>1</v>
      </c>
      <c r="F65" s="7" t="n">
        <v>1</v>
      </c>
      <c r="G65" s="7" t="n">
        <v>1</v>
      </c>
      <c r="H65" s="7" t="n">
        <v>1</v>
      </c>
      <c r="I65" s="7" t="n">
        <v>2</v>
      </c>
      <c r="J65" s="7" t="n">
        <v>1</v>
      </c>
      <c r="K65" s="7" t="n">
        <v>2</v>
      </c>
      <c r="L65" s="7" t="n">
        <v>3</v>
      </c>
      <c r="M65" s="9"/>
      <c r="N65" s="7" t="n">
        <v>4</v>
      </c>
      <c r="O65" s="7" t="n">
        <v>2</v>
      </c>
      <c r="P65" s="7" t="n">
        <v>3</v>
      </c>
      <c r="Q65" s="7" t="n">
        <v>3</v>
      </c>
      <c r="R65" s="7" t="n">
        <v>3</v>
      </c>
      <c r="S65" s="7" t="n">
        <v>2</v>
      </c>
      <c r="T65" s="7" t="n">
        <v>2</v>
      </c>
      <c r="U65" s="7" t="n">
        <v>3</v>
      </c>
      <c r="V65" s="7" t="n">
        <v>4</v>
      </c>
      <c r="W65" s="19" t="n">
        <v>3</v>
      </c>
      <c r="X65" s="7" t="n">
        <v>5</v>
      </c>
      <c r="Y65" s="7" t="n">
        <v>2</v>
      </c>
      <c r="Z65" s="7" t="n">
        <v>5</v>
      </c>
      <c r="AA65" s="7" t="n">
        <v>2</v>
      </c>
      <c r="AB65" s="7" t="n">
        <v>3</v>
      </c>
      <c r="AC65" s="7" t="n">
        <v>2</v>
      </c>
      <c r="AD65" s="7" t="n">
        <v>3</v>
      </c>
      <c r="AE65" s="7" t="n">
        <v>3</v>
      </c>
      <c r="AF65" s="7" t="n">
        <v>3</v>
      </c>
      <c r="AG65" s="7" t="n">
        <v>2</v>
      </c>
      <c r="AH65" s="7" t="n">
        <v>2</v>
      </c>
      <c r="AI65" s="7" t="n">
        <v>2</v>
      </c>
      <c r="AJ65" s="9"/>
      <c r="AK65" s="7" t="n">
        <v>1</v>
      </c>
      <c r="AL65" s="7" t="n">
        <v>3</v>
      </c>
      <c r="AM65" s="7" t="n">
        <v>2</v>
      </c>
      <c r="AN65" s="7" t="n">
        <v>2</v>
      </c>
      <c r="AO65" s="16" t="n">
        <f aca="false">MAX(E65:K65)</f>
        <v>2</v>
      </c>
      <c r="AP65" s="17" t="n">
        <f aca="false">AVERAGE(N65:R65)</f>
        <v>3</v>
      </c>
      <c r="AQ65" s="17" t="n">
        <f aca="false">AVERAGE(S65:V65)</f>
        <v>2.75</v>
      </c>
      <c r="AR65" s="17" t="n">
        <f aca="false">AVERAGE(W65,X65,Z65,AB65)</f>
        <v>4</v>
      </c>
      <c r="AS65" s="17" t="n">
        <f aca="false">AVERAGE(AC65:AF65)</f>
        <v>2.75</v>
      </c>
      <c r="AT65" s="17" t="n">
        <f aca="false">AVERAGE(Y65,AA65,AG65:AM65)</f>
        <v>2</v>
      </c>
      <c r="AU65" s="18" t="n">
        <f aca="false">(AO65+AP65+AQ65+AR65+AS65+(6-AT65))/6</f>
        <v>3.08333333333333</v>
      </c>
      <c r="AV65" s="7" t="s">
        <v>1029</v>
      </c>
      <c r="AW65" s="7" t="s">
        <v>1030</v>
      </c>
      <c r="AX65" s="20" t="s">
        <v>1035</v>
      </c>
      <c r="AY65" s="8"/>
    </row>
    <row r="66" customFormat="false" ht="22.35" hidden="false" customHeight="false" outlineLevel="0" collapsed="false">
      <c r="A66" s="7" t="n">
        <v>345</v>
      </c>
      <c r="B66" s="8" t="s">
        <v>793</v>
      </c>
      <c r="C66" s="8" t="s">
        <v>794</v>
      </c>
      <c r="D66" s="8" t="s">
        <v>737</v>
      </c>
      <c r="E66" s="7" t="n">
        <v>1</v>
      </c>
      <c r="F66" s="7" t="n">
        <v>1</v>
      </c>
      <c r="G66" s="7" t="n">
        <v>1</v>
      </c>
      <c r="H66" s="7" t="n">
        <v>1</v>
      </c>
      <c r="I66" s="7" t="n">
        <v>1</v>
      </c>
      <c r="J66" s="7" t="n">
        <v>1</v>
      </c>
      <c r="K66" s="7" t="n">
        <v>2</v>
      </c>
      <c r="L66" s="7" t="n">
        <v>3</v>
      </c>
      <c r="M66" s="9"/>
      <c r="N66" s="7" t="n">
        <v>1</v>
      </c>
      <c r="O66" s="7" t="n">
        <v>1</v>
      </c>
      <c r="P66" s="7" t="n">
        <v>3</v>
      </c>
      <c r="Q66" s="7" t="n">
        <v>3</v>
      </c>
      <c r="R66" s="7" t="n">
        <v>2</v>
      </c>
      <c r="S66" s="7" t="n">
        <v>1</v>
      </c>
      <c r="T66" s="7" t="n">
        <v>1</v>
      </c>
      <c r="U66" s="7" t="n">
        <v>1</v>
      </c>
      <c r="V66" s="7" t="n">
        <v>3</v>
      </c>
      <c r="W66" s="7" t="n">
        <v>2</v>
      </c>
      <c r="X66" s="7" t="n">
        <v>4</v>
      </c>
      <c r="Y66" s="7" t="n">
        <v>1</v>
      </c>
      <c r="Z66" s="7" t="n">
        <v>2</v>
      </c>
      <c r="AA66" s="7" t="n">
        <v>4</v>
      </c>
      <c r="AB66" s="7" t="n">
        <v>3</v>
      </c>
      <c r="AC66" s="7" t="n">
        <v>2</v>
      </c>
      <c r="AD66" s="7" t="n">
        <v>3</v>
      </c>
      <c r="AE66" s="7" t="n">
        <v>4</v>
      </c>
      <c r="AF66" s="7" t="n">
        <v>3</v>
      </c>
      <c r="AG66" s="7" t="n">
        <v>2</v>
      </c>
      <c r="AH66" s="7" t="n">
        <v>2</v>
      </c>
      <c r="AI66" s="7" t="n">
        <v>2</v>
      </c>
      <c r="AJ66" s="9"/>
      <c r="AK66" s="7" t="n">
        <v>1</v>
      </c>
      <c r="AL66" s="7" t="n">
        <v>3</v>
      </c>
      <c r="AM66" s="7" t="n">
        <v>1</v>
      </c>
      <c r="AN66" s="7" t="n">
        <v>2</v>
      </c>
      <c r="AO66" s="16" t="n">
        <f aca="false">MAX(E66:K66)</f>
        <v>2</v>
      </c>
      <c r="AP66" s="17" t="n">
        <f aca="false">AVERAGE(N66:R66)</f>
        <v>2</v>
      </c>
      <c r="AQ66" s="17" t="n">
        <f aca="false">AVERAGE(S66:V66)</f>
        <v>1.5</v>
      </c>
      <c r="AR66" s="17" t="n">
        <f aca="false">AVERAGE(W66,X66,Z66,AB66)</f>
        <v>2.75</v>
      </c>
      <c r="AS66" s="17" t="n">
        <f aca="false">AVERAGE(AC66:AF66)</f>
        <v>3</v>
      </c>
      <c r="AT66" s="17" t="n">
        <f aca="false">AVERAGE(Y66,AA66,AG66:AM66)</f>
        <v>2</v>
      </c>
      <c r="AU66" s="18" t="n">
        <f aca="false">(AO66+AP66+AQ66+AR66+AS66+(6-AT66))/6</f>
        <v>2.54166666666667</v>
      </c>
      <c r="AV66" s="7" t="s">
        <v>1029</v>
      </c>
      <c r="AW66" s="7" t="s">
        <v>1030</v>
      </c>
      <c r="AX66" s="7" t="n">
        <v>2</v>
      </c>
      <c r="AY66" s="8" t="s">
        <v>1052</v>
      </c>
    </row>
    <row r="67" customFormat="false" ht="22.35" hidden="false" customHeight="false" outlineLevel="0" collapsed="false">
      <c r="A67" s="7" t="n">
        <v>346</v>
      </c>
      <c r="B67" s="8" t="s">
        <v>970</v>
      </c>
      <c r="C67" s="8" t="s">
        <v>971</v>
      </c>
      <c r="D67" s="8" t="s">
        <v>915</v>
      </c>
      <c r="E67" s="7" t="n">
        <v>1</v>
      </c>
      <c r="F67" s="7" t="n">
        <v>1</v>
      </c>
      <c r="G67" s="7" t="n">
        <v>3</v>
      </c>
      <c r="H67" s="7" t="n">
        <v>1</v>
      </c>
      <c r="I67" s="7" t="n">
        <v>1</v>
      </c>
      <c r="J67" s="7" t="n">
        <v>1</v>
      </c>
      <c r="K67" s="7" t="n">
        <v>2</v>
      </c>
      <c r="L67" s="7" t="n">
        <v>3</v>
      </c>
      <c r="M67" s="9"/>
      <c r="N67" s="7" t="n">
        <v>4</v>
      </c>
      <c r="O67" s="7" t="n">
        <v>2</v>
      </c>
      <c r="P67" s="7" t="n">
        <v>3</v>
      </c>
      <c r="Q67" s="7" t="n">
        <v>3</v>
      </c>
      <c r="R67" s="7" t="n">
        <v>3</v>
      </c>
      <c r="S67" s="7" t="n">
        <v>3</v>
      </c>
      <c r="T67" s="7" t="n">
        <v>3</v>
      </c>
      <c r="U67" s="7" t="n">
        <v>2</v>
      </c>
      <c r="V67" s="7" t="n">
        <v>4</v>
      </c>
      <c r="W67" s="19" t="n">
        <v>3</v>
      </c>
      <c r="X67" s="7" t="n">
        <v>4</v>
      </c>
      <c r="Y67" s="7" t="n">
        <v>2</v>
      </c>
      <c r="Z67" s="7" t="n">
        <v>3</v>
      </c>
      <c r="AA67" s="7" t="n">
        <v>2</v>
      </c>
      <c r="AB67" s="7" t="n">
        <v>3</v>
      </c>
      <c r="AC67" s="7" t="n">
        <v>3</v>
      </c>
      <c r="AD67" s="7" t="n">
        <v>3</v>
      </c>
      <c r="AE67" s="7" t="n">
        <v>3</v>
      </c>
      <c r="AF67" s="7" t="n">
        <v>5</v>
      </c>
      <c r="AG67" s="7" t="n">
        <v>3</v>
      </c>
      <c r="AH67" s="7" t="n">
        <v>2</v>
      </c>
      <c r="AI67" s="7" t="n">
        <v>3</v>
      </c>
      <c r="AJ67" s="9"/>
      <c r="AK67" s="7" t="n">
        <v>2</v>
      </c>
      <c r="AL67" s="7" t="n">
        <v>3</v>
      </c>
      <c r="AM67" s="7" t="n">
        <v>1</v>
      </c>
      <c r="AN67" s="7" t="n">
        <v>1</v>
      </c>
      <c r="AO67" s="16" t="n">
        <f aca="false">MAX(E67:K67)</f>
        <v>3</v>
      </c>
      <c r="AP67" s="17" t="n">
        <f aca="false">AVERAGE(N67:R67)</f>
        <v>3</v>
      </c>
      <c r="AQ67" s="17" t="n">
        <f aca="false">AVERAGE(S67:V67)</f>
        <v>3</v>
      </c>
      <c r="AR67" s="17" t="n">
        <f aca="false">AVERAGE(W67,X67,Z67,AB67)</f>
        <v>3.25</v>
      </c>
      <c r="AS67" s="17" t="n">
        <f aca="false">AVERAGE(AC67:AF67)</f>
        <v>3.5</v>
      </c>
      <c r="AT67" s="17" t="n">
        <f aca="false">AVERAGE(Y67,AA67,AG67:AM67)</f>
        <v>2.25</v>
      </c>
      <c r="AU67" s="18" t="n">
        <f aca="false">(AO67+AP67+AQ67+AR67+AS67+(6-AT67))/6</f>
        <v>3.25</v>
      </c>
      <c r="AV67" s="7" t="s">
        <v>1029</v>
      </c>
      <c r="AW67" s="7" t="s">
        <v>1030</v>
      </c>
      <c r="AX67" s="20" t="s">
        <v>1035</v>
      </c>
      <c r="AY67" s="8"/>
    </row>
    <row r="68" customFormat="false" ht="22.35" hidden="false" customHeight="false" outlineLevel="0" collapsed="false">
      <c r="A68" s="7" t="n">
        <v>347</v>
      </c>
      <c r="B68" s="8" t="s">
        <v>354</v>
      </c>
      <c r="C68" s="8" t="s">
        <v>355</v>
      </c>
      <c r="D68" s="8" t="s">
        <v>304</v>
      </c>
      <c r="E68" s="7" t="n">
        <v>1</v>
      </c>
      <c r="F68" s="7" t="n">
        <v>1</v>
      </c>
      <c r="G68" s="7" t="n">
        <v>2</v>
      </c>
      <c r="H68" s="7" t="n">
        <v>1</v>
      </c>
      <c r="I68" s="7" t="n">
        <v>2</v>
      </c>
      <c r="J68" s="7" t="n">
        <v>3</v>
      </c>
      <c r="K68" s="7" t="n">
        <v>1</v>
      </c>
      <c r="L68" s="7" t="n">
        <v>3</v>
      </c>
      <c r="M68" s="9"/>
      <c r="N68" s="7" t="n">
        <v>4</v>
      </c>
      <c r="O68" s="7" t="n">
        <v>4</v>
      </c>
      <c r="P68" s="7" t="n">
        <v>3</v>
      </c>
      <c r="Q68" s="7" t="n">
        <v>4</v>
      </c>
      <c r="R68" s="7" t="n">
        <v>2</v>
      </c>
      <c r="S68" s="7" t="n">
        <v>4</v>
      </c>
      <c r="T68" s="7" t="n">
        <v>3</v>
      </c>
      <c r="U68" s="7" t="n">
        <v>3</v>
      </c>
      <c r="V68" s="7" t="n">
        <v>3</v>
      </c>
      <c r="W68" s="7" t="n">
        <v>2</v>
      </c>
      <c r="X68" s="7" t="n">
        <v>4</v>
      </c>
      <c r="Y68" s="7" t="n">
        <v>1</v>
      </c>
      <c r="Z68" s="7" t="n">
        <v>1</v>
      </c>
      <c r="AA68" s="7" t="n">
        <v>5</v>
      </c>
      <c r="AB68" s="7" t="n">
        <v>3</v>
      </c>
      <c r="AC68" s="7" t="n">
        <v>1</v>
      </c>
      <c r="AD68" s="7" t="n">
        <v>3</v>
      </c>
      <c r="AE68" s="7" t="n">
        <v>4</v>
      </c>
      <c r="AF68" s="7" t="n">
        <v>3</v>
      </c>
      <c r="AG68" s="7" t="n">
        <v>3</v>
      </c>
      <c r="AH68" s="7" t="n">
        <v>3</v>
      </c>
      <c r="AI68" s="7" t="n">
        <v>3</v>
      </c>
      <c r="AJ68" s="9"/>
      <c r="AK68" s="7" t="n">
        <v>3</v>
      </c>
      <c r="AL68" s="7" t="n">
        <v>2</v>
      </c>
      <c r="AM68" s="7" t="n">
        <v>1</v>
      </c>
      <c r="AN68" s="7" t="n">
        <v>3</v>
      </c>
      <c r="AO68" s="16" t="n">
        <f aca="false">MAX(E68:K68)</f>
        <v>3</v>
      </c>
      <c r="AP68" s="17" t="n">
        <f aca="false">AVERAGE(N68:R68)</f>
        <v>3.4</v>
      </c>
      <c r="AQ68" s="17" t="n">
        <f aca="false">AVERAGE(S68:V68)</f>
        <v>3.25</v>
      </c>
      <c r="AR68" s="17" t="n">
        <f aca="false">AVERAGE(W68,X68,Z68,AB68)</f>
        <v>2.5</v>
      </c>
      <c r="AS68" s="17" t="n">
        <f aca="false">AVERAGE(AC68:AF68)</f>
        <v>2.75</v>
      </c>
      <c r="AT68" s="17" t="n">
        <f aca="false">AVERAGE(Y68,AA68,AG68:AM68)</f>
        <v>2.625</v>
      </c>
      <c r="AU68" s="18" t="n">
        <f aca="false">(AO68+AP68+AQ68+AR68+AS68+(6-AT68))/6</f>
        <v>3.04583333333333</v>
      </c>
      <c r="AV68" s="7" t="s">
        <v>1029</v>
      </c>
      <c r="AW68" s="7" t="s">
        <v>1030</v>
      </c>
      <c r="AX68" s="7" t="n">
        <v>2</v>
      </c>
      <c r="AY68" s="8" t="s">
        <v>1031</v>
      </c>
    </row>
    <row r="69" customFormat="false" ht="22.35" hidden="false" customHeight="false" outlineLevel="0" collapsed="false">
      <c r="A69" s="7" t="n">
        <v>348</v>
      </c>
      <c r="B69" s="8" t="s">
        <v>365</v>
      </c>
      <c r="C69" s="8" t="s">
        <v>1053</v>
      </c>
      <c r="D69" s="8" t="s">
        <v>304</v>
      </c>
      <c r="E69" s="7" t="n">
        <v>5</v>
      </c>
      <c r="F69" s="7" t="n">
        <v>1</v>
      </c>
      <c r="G69" s="7" t="n">
        <v>1</v>
      </c>
      <c r="H69" s="7" t="n">
        <v>1</v>
      </c>
      <c r="I69" s="7" t="n">
        <v>2</v>
      </c>
      <c r="J69" s="7" t="n">
        <v>3</v>
      </c>
      <c r="K69" s="7" t="n">
        <v>1</v>
      </c>
      <c r="L69" s="7" t="n">
        <v>4</v>
      </c>
      <c r="M69" s="9"/>
      <c r="N69" s="7" t="n">
        <v>1</v>
      </c>
      <c r="O69" s="7" t="n">
        <v>2</v>
      </c>
      <c r="P69" s="7" t="n">
        <v>3</v>
      </c>
      <c r="Q69" s="7" t="n">
        <v>3</v>
      </c>
      <c r="R69" s="7" t="n">
        <v>3</v>
      </c>
      <c r="S69" s="7" t="n">
        <v>1</v>
      </c>
      <c r="T69" s="7" t="n">
        <v>1</v>
      </c>
      <c r="U69" s="7" t="n">
        <v>1</v>
      </c>
      <c r="V69" s="7" t="n">
        <v>4</v>
      </c>
      <c r="W69" s="7" t="n">
        <v>3</v>
      </c>
      <c r="X69" s="7" t="n">
        <v>4</v>
      </c>
      <c r="Y69" s="7" t="n">
        <v>5</v>
      </c>
      <c r="Z69" s="7" t="n">
        <v>5</v>
      </c>
      <c r="AA69" s="7" t="n">
        <v>2</v>
      </c>
      <c r="AB69" s="7" t="n">
        <v>2</v>
      </c>
      <c r="AC69" s="7" t="n">
        <v>3</v>
      </c>
      <c r="AD69" s="7" t="n">
        <v>3</v>
      </c>
      <c r="AE69" s="7" t="n">
        <v>3</v>
      </c>
      <c r="AF69" s="7" t="n">
        <v>3</v>
      </c>
      <c r="AG69" s="7" t="n">
        <v>4</v>
      </c>
      <c r="AH69" s="7" t="n">
        <v>3</v>
      </c>
      <c r="AI69" s="7" t="n">
        <v>3</v>
      </c>
      <c r="AJ69" s="9"/>
      <c r="AK69" s="7" t="n">
        <v>4</v>
      </c>
      <c r="AL69" s="7" t="n">
        <v>1</v>
      </c>
      <c r="AM69" s="7" t="n">
        <v>3</v>
      </c>
      <c r="AN69" s="7" t="n">
        <v>3</v>
      </c>
      <c r="AO69" s="16" t="n">
        <f aca="false">MAX(E69:K69)</f>
        <v>5</v>
      </c>
      <c r="AP69" s="17" t="n">
        <f aca="false">AVERAGE(N69:R69)</f>
        <v>2.4</v>
      </c>
      <c r="AQ69" s="17" t="n">
        <f aca="false">AVERAGE(S69:V69)</f>
        <v>1.75</v>
      </c>
      <c r="AR69" s="17" t="n">
        <f aca="false">AVERAGE(W69,X69,Z69,AB69)</f>
        <v>3.5</v>
      </c>
      <c r="AS69" s="17" t="n">
        <f aca="false">AVERAGE(AC69:AF69)</f>
        <v>3</v>
      </c>
      <c r="AT69" s="17" t="n">
        <f aca="false">AVERAGE(Y69,AA69,AG69:AM69)</f>
        <v>3.125</v>
      </c>
      <c r="AU69" s="18" t="n">
        <f aca="false">(AO69+AP69+AQ69+AR69+AS69+(6-AT69))/6</f>
        <v>3.0875</v>
      </c>
      <c r="AV69" s="7" t="s">
        <v>1033</v>
      </c>
      <c r="AW69" s="7" t="s">
        <v>1030</v>
      </c>
      <c r="AX69" s="7" t="n">
        <v>3</v>
      </c>
      <c r="AY69" s="8" t="s">
        <v>1054</v>
      </c>
    </row>
    <row r="70" customFormat="false" ht="22.35" hidden="false" customHeight="false" outlineLevel="0" collapsed="false">
      <c r="A70" s="7" t="n">
        <v>349</v>
      </c>
      <c r="B70" s="8" t="s">
        <v>751</v>
      </c>
      <c r="C70" s="8" t="s">
        <v>900</v>
      </c>
      <c r="D70" s="8" t="s">
        <v>877</v>
      </c>
      <c r="E70" s="7" t="n">
        <v>1</v>
      </c>
      <c r="F70" s="7" t="n">
        <v>1</v>
      </c>
      <c r="G70" s="7" t="n">
        <v>2</v>
      </c>
      <c r="H70" s="7" t="n">
        <v>1</v>
      </c>
      <c r="I70" s="7" t="n">
        <v>1</v>
      </c>
      <c r="J70" s="7" t="n">
        <v>1</v>
      </c>
      <c r="K70" s="7" t="n">
        <v>1</v>
      </c>
      <c r="L70" s="7" t="n">
        <v>4</v>
      </c>
      <c r="M70" s="9"/>
      <c r="N70" s="7" t="n">
        <v>5</v>
      </c>
      <c r="O70" s="7" t="n">
        <v>2</v>
      </c>
      <c r="P70" s="7" t="n">
        <v>4</v>
      </c>
      <c r="Q70" s="7" t="n">
        <v>4</v>
      </c>
      <c r="R70" s="7" t="n">
        <v>4</v>
      </c>
      <c r="S70" s="7" t="n">
        <v>2</v>
      </c>
      <c r="T70" s="7" t="n">
        <v>3</v>
      </c>
      <c r="U70" s="7" t="n">
        <v>4</v>
      </c>
      <c r="V70" s="7" t="n">
        <v>4</v>
      </c>
      <c r="W70" s="19" t="n">
        <v>3</v>
      </c>
      <c r="X70" s="7" t="n">
        <v>2</v>
      </c>
      <c r="Y70" s="7" t="n">
        <v>3</v>
      </c>
      <c r="Z70" s="7" t="n">
        <v>3</v>
      </c>
      <c r="AA70" s="7" t="n">
        <v>4</v>
      </c>
      <c r="AB70" s="7" t="n">
        <v>3</v>
      </c>
      <c r="AC70" s="7" t="n">
        <v>4</v>
      </c>
      <c r="AD70" s="7" t="n">
        <v>5</v>
      </c>
      <c r="AE70" s="7" t="n">
        <v>3</v>
      </c>
      <c r="AF70" s="7" t="n">
        <v>4</v>
      </c>
      <c r="AG70" s="7" t="n">
        <v>4</v>
      </c>
      <c r="AH70" s="7" t="n">
        <v>5</v>
      </c>
      <c r="AI70" s="7" t="n">
        <v>3</v>
      </c>
      <c r="AJ70" s="9"/>
      <c r="AK70" s="7" t="n">
        <v>3</v>
      </c>
      <c r="AL70" s="7" t="n">
        <v>3</v>
      </c>
      <c r="AM70" s="7" t="n">
        <v>3</v>
      </c>
      <c r="AN70" s="7" t="n">
        <v>2</v>
      </c>
      <c r="AO70" s="16" t="n">
        <f aca="false">MAX(E70:K70)</f>
        <v>2</v>
      </c>
      <c r="AP70" s="17" t="n">
        <f aca="false">AVERAGE(N70:R70)</f>
        <v>3.8</v>
      </c>
      <c r="AQ70" s="17" t="n">
        <f aca="false">AVERAGE(S70:V70)</f>
        <v>3.25</v>
      </c>
      <c r="AR70" s="17" t="n">
        <f aca="false">AVERAGE(W70,X70,Z70,AB70)</f>
        <v>2.75</v>
      </c>
      <c r="AS70" s="17" t="n">
        <f aca="false">AVERAGE(AC70:AF70)</f>
        <v>4</v>
      </c>
      <c r="AT70" s="17" t="n">
        <f aca="false">AVERAGE(Y70,AA70,AG70:AM70)</f>
        <v>3.5</v>
      </c>
      <c r="AU70" s="18" t="n">
        <f aca="false">(AO70+AP70+AQ70+AR70+AS70+(6-AT70))/6</f>
        <v>3.05</v>
      </c>
      <c r="AV70" s="7" t="s">
        <v>1033</v>
      </c>
      <c r="AW70" s="7" t="s">
        <v>1030</v>
      </c>
      <c r="AX70" s="20" t="s">
        <v>1035</v>
      </c>
      <c r="AY70" s="8"/>
    </row>
    <row r="71" customFormat="false" ht="15" hidden="false" customHeight="false" outlineLevel="0" collapsed="false">
      <c r="A71" s="7" t="n">
        <v>350</v>
      </c>
      <c r="B71" s="8" t="s">
        <v>751</v>
      </c>
      <c r="C71" s="8" t="s">
        <v>907</v>
      </c>
      <c r="D71" s="8" t="s">
        <v>877</v>
      </c>
      <c r="E71" s="7" t="n">
        <v>1</v>
      </c>
      <c r="F71" s="7" t="n">
        <v>1</v>
      </c>
      <c r="G71" s="7" t="n">
        <v>2</v>
      </c>
      <c r="H71" s="7" t="n">
        <v>1</v>
      </c>
      <c r="I71" s="7" t="n">
        <v>1</v>
      </c>
      <c r="J71" s="7" t="n">
        <v>1</v>
      </c>
      <c r="K71" s="7" t="n">
        <v>2</v>
      </c>
      <c r="L71" s="7" t="n">
        <v>4</v>
      </c>
      <c r="M71" s="9"/>
      <c r="N71" s="7" t="n">
        <v>5</v>
      </c>
      <c r="O71" s="7" t="n">
        <v>2</v>
      </c>
      <c r="P71" s="7" t="n">
        <v>4</v>
      </c>
      <c r="Q71" s="7" t="n">
        <v>4</v>
      </c>
      <c r="R71" s="7" t="n">
        <v>4</v>
      </c>
      <c r="S71" s="7" t="n">
        <v>2</v>
      </c>
      <c r="T71" s="7" t="n">
        <v>3</v>
      </c>
      <c r="U71" s="7" t="n">
        <v>4</v>
      </c>
      <c r="V71" s="7" t="n">
        <v>3</v>
      </c>
      <c r="W71" s="19" t="n">
        <v>3</v>
      </c>
      <c r="X71" s="7" t="n">
        <v>2</v>
      </c>
      <c r="Y71" s="7" t="n">
        <v>5</v>
      </c>
      <c r="Z71" s="7" t="n">
        <v>2</v>
      </c>
      <c r="AA71" s="7" t="n">
        <v>4</v>
      </c>
      <c r="AB71" s="7" t="n">
        <v>3</v>
      </c>
      <c r="AC71" s="7" t="n">
        <v>4</v>
      </c>
      <c r="AD71" s="7" t="n">
        <v>5</v>
      </c>
      <c r="AE71" s="7" t="n">
        <v>2</v>
      </c>
      <c r="AF71" s="7" t="n">
        <v>4</v>
      </c>
      <c r="AG71" s="7" t="n">
        <v>5</v>
      </c>
      <c r="AH71" s="7" t="n">
        <v>4</v>
      </c>
      <c r="AI71" s="7" t="n">
        <v>5</v>
      </c>
      <c r="AJ71" s="9"/>
      <c r="AK71" s="7" t="n">
        <v>5</v>
      </c>
      <c r="AL71" s="7" t="n">
        <v>3</v>
      </c>
      <c r="AM71" s="7" t="n">
        <v>4</v>
      </c>
      <c r="AN71" s="7" t="n">
        <v>1</v>
      </c>
      <c r="AO71" s="16" t="n">
        <f aca="false">MAX(E71:K71)</f>
        <v>2</v>
      </c>
      <c r="AP71" s="17" t="n">
        <f aca="false">AVERAGE(N71:R71)</f>
        <v>3.8</v>
      </c>
      <c r="AQ71" s="17" t="n">
        <f aca="false">AVERAGE(S71:V71)</f>
        <v>3</v>
      </c>
      <c r="AR71" s="17" t="n">
        <f aca="false">AVERAGE(W71,X71,Z71,AB71)</f>
        <v>2.5</v>
      </c>
      <c r="AS71" s="17" t="n">
        <f aca="false">AVERAGE(AC71:AF71)</f>
        <v>3.75</v>
      </c>
      <c r="AT71" s="17" t="n">
        <f aca="false">AVERAGE(Y71,AA71,AG71:AM71)</f>
        <v>4.375</v>
      </c>
      <c r="AU71" s="18" t="n">
        <f aca="false">(AO71+AP71+AQ71+AR71+AS71+(6-AT71))/6</f>
        <v>2.77916666666667</v>
      </c>
      <c r="AV71" s="7" t="s">
        <v>1033</v>
      </c>
      <c r="AW71" s="7" t="s">
        <v>1030</v>
      </c>
      <c r="AX71" s="20" t="s">
        <v>1035</v>
      </c>
      <c r="AY71" s="8"/>
    </row>
    <row r="72" customFormat="false" ht="22.35" hidden="false" customHeight="false" outlineLevel="0" collapsed="false">
      <c r="A72" s="7" t="n">
        <v>351</v>
      </c>
      <c r="B72" s="8" t="s">
        <v>457</v>
      </c>
      <c r="C72" s="8" t="s">
        <v>458</v>
      </c>
      <c r="D72" s="8" t="s">
        <v>409</v>
      </c>
      <c r="E72" s="7" t="n">
        <v>1</v>
      </c>
      <c r="F72" s="7" t="n">
        <v>1</v>
      </c>
      <c r="G72" s="7" t="n">
        <v>1</v>
      </c>
      <c r="H72" s="7" t="n">
        <v>1</v>
      </c>
      <c r="I72" s="7" t="n">
        <v>2</v>
      </c>
      <c r="J72" s="7" t="n">
        <v>1</v>
      </c>
      <c r="K72" s="7" t="n">
        <v>3</v>
      </c>
      <c r="L72" s="7" t="n">
        <v>4</v>
      </c>
      <c r="M72" s="9"/>
      <c r="N72" s="7" t="n">
        <v>4</v>
      </c>
      <c r="O72" s="7" t="n">
        <v>2</v>
      </c>
      <c r="P72" s="7" t="n">
        <v>3</v>
      </c>
      <c r="Q72" s="7" t="n">
        <v>4</v>
      </c>
      <c r="R72" s="7" t="n">
        <v>4</v>
      </c>
      <c r="S72" s="7" t="n">
        <v>2</v>
      </c>
      <c r="T72" s="7" t="n">
        <v>3</v>
      </c>
      <c r="U72" s="7" t="n">
        <v>3</v>
      </c>
      <c r="V72" s="7" t="n">
        <v>4</v>
      </c>
      <c r="W72" s="19" t="n">
        <v>3</v>
      </c>
      <c r="X72" s="7" t="n">
        <v>5</v>
      </c>
      <c r="Y72" s="7" t="n">
        <v>1</v>
      </c>
      <c r="Z72" s="7" t="n">
        <v>3</v>
      </c>
      <c r="AA72" s="7" t="n">
        <v>3</v>
      </c>
      <c r="AB72" s="7" t="n">
        <v>3</v>
      </c>
      <c r="AC72" s="7" t="n">
        <v>3</v>
      </c>
      <c r="AD72" s="7" t="n">
        <v>4</v>
      </c>
      <c r="AE72" s="7" t="n">
        <v>5</v>
      </c>
      <c r="AF72" s="7" t="n">
        <v>4</v>
      </c>
      <c r="AG72" s="7" t="n">
        <v>4</v>
      </c>
      <c r="AH72" s="7" t="n">
        <v>3</v>
      </c>
      <c r="AI72" s="7" t="n">
        <v>5</v>
      </c>
      <c r="AJ72" s="9"/>
      <c r="AK72" s="7" t="n">
        <v>2</v>
      </c>
      <c r="AL72" s="7" t="n">
        <v>2</v>
      </c>
      <c r="AM72" s="7" t="n">
        <v>1</v>
      </c>
      <c r="AN72" s="7" t="n">
        <v>2</v>
      </c>
      <c r="AO72" s="16" t="n">
        <f aca="false">MAX(E72:K72)</f>
        <v>3</v>
      </c>
      <c r="AP72" s="17" t="n">
        <f aca="false">AVERAGE(N72:R72)</f>
        <v>3.4</v>
      </c>
      <c r="AQ72" s="17" t="n">
        <f aca="false">AVERAGE(S72:V72)</f>
        <v>3</v>
      </c>
      <c r="AR72" s="17" t="n">
        <f aca="false">AVERAGE(W72,X72,Z72,AB72)</f>
        <v>3.5</v>
      </c>
      <c r="AS72" s="17" t="n">
        <f aca="false">AVERAGE(AC72:AF72)</f>
        <v>4</v>
      </c>
      <c r="AT72" s="17" t="n">
        <f aca="false">AVERAGE(Y72,AA72,AG72:AM72)</f>
        <v>2.625</v>
      </c>
      <c r="AU72" s="18" t="n">
        <f aca="false">(AO72+AP72+AQ72+AR72+AS72+(6-AT72))/6</f>
        <v>3.37916666666667</v>
      </c>
      <c r="AV72" s="7" t="s">
        <v>1029</v>
      </c>
      <c r="AW72" s="7" t="s">
        <v>1030</v>
      </c>
      <c r="AX72" s="20" t="s">
        <v>1035</v>
      </c>
      <c r="AY72" s="8"/>
    </row>
    <row r="73" customFormat="false" ht="22.35" hidden="false" customHeight="false" outlineLevel="0" collapsed="false">
      <c r="A73" s="7" t="n">
        <v>352</v>
      </c>
      <c r="B73" s="8" t="s">
        <v>803</v>
      </c>
      <c r="C73" s="8" t="s">
        <v>804</v>
      </c>
      <c r="D73" s="8" t="s">
        <v>737</v>
      </c>
      <c r="E73" s="7" t="n">
        <v>1</v>
      </c>
      <c r="F73" s="7" t="n">
        <v>1</v>
      </c>
      <c r="G73" s="7" t="n">
        <v>1</v>
      </c>
      <c r="H73" s="7" t="n">
        <v>1</v>
      </c>
      <c r="I73" s="7" t="n">
        <v>1</v>
      </c>
      <c r="J73" s="7" t="n">
        <v>1</v>
      </c>
      <c r="K73" s="7" t="n">
        <v>1</v>
      </c>
      <c r="L73" s="7" t="n">
        <v>2</v>
      </c>
      <c r="M73" s="9"/>
      <c r="N73" s="7" t="n">
        <v>2</v>
      </c>
      <c r="O73" s="7" t="n">
        <v>2</v>
      </c>
      <c r="P73" s="7" t="n">
        <v>3</v>
      </c>
      <c r="Q73" s="7" t="n">
        <v>3</v>
      </c>
      <c r="R73" s="7" t="n">
        <v>1</v>
      </c>
      <c r="S73" s="7" t="n">
        <v>2</v>
      </c>
      <c r="T73" s="7" t="n">
        <v>2</v>
      </c>
      <c r="U73" s="7" t="n">
        <v>1</v>
      </c>
      <c r="V73" s="7" t="n">
        <v>3</v>
      </c>
      <c r="W73" s="19" t="n">
        <v>3</v>
      </c>
      <c r="X73" s="7" t="n">
        <v>3</v>
      </c>
      <c r="Y73" s="7" t="n">
        <v>3</v>
      </c>
      <c r="Z73" s="7" t="n">
        <v>1</v>
      </c>
      <c r="AA73" s="7" t="n">
        <v>4</v>
      </c>
      <c r="AB73" s="7" t="n">
        <v>3</v>
      </c>
      <c r="AC73" s="7" t="n">
        <v>1</v>
      </c>
      <c r="AD73" s="7" t="n">
        <v>3</v>
      </c>
      <c r="AE73" s="7" t="n">
        <v>4</v>
      </c>
      <c r="AF73" s="7" t="n">
        <v>3</v>
      </c>
      <c r="AG73" s="7" t="n">
        <v>4</v>
      </c>
      <c r="AH73" s="7" t="n">
        <v>4</v>
      </c>
      <c r="AI73" s="7" t="n">
        <v>4</v>
      </c>
      <c r="AJ73" s="9"/>
      <c r="AK73" s="7" t="n">
        <v>4</v>
      </c>
      <c r="AL73" s="7" t="n">
        <v>3</v>
      </c>
      <c r="AM73" s="7" t="n">
        <v>2</v>
      </c>
      <c r="AN73" s="7" t="n">
        <v>2</v>
      </c>
      <c r="AO73" s="16" t="n">
        <f aca="false">MAX(E73:K73)</f>
        <v>1</v>
      </c>
      <c r="AP73" s="17" t="n">
        <f aca="false">AVERAGE(N73:R73)</f>
        <v>2.2</v>
      </c>
      <c r="AQ73" s="17" t="n">
        <f aca="false">AVERAGE(S73:V73)</f>
        <v>2</v>
      </c>
      <c r="AR73" s="17" t="n">
        <f aca="false">AVERAGE(W73,X73,Z73,AB73)</f>
        <v>2.5</v>
      </c>
      <c r="AS73" s="17" t="n">
        <f aca="false">AVERAGE(AC73:AF73)</f>
        <v>2.75</v>
      </c>
      <c r="AT73" s="17" t="n">
        <f aca="false">AVERAGE(Y73,AA73,AG73:AM73)</f>
        <v>3.5</v>
      </c>
      <c r="AU73" s="18" t="n">
        <f aca="false">(AO73+AP73+AQ73+AR73+AS73+(6-AT73))/6</f>
        <v>2.15833333333333</v>
      </c>
      <c r="AV73" s="7" t="s">
        <v>1033</v>
      </c>
      <c r="AW73" s="7" t="s">
        <v>1030</v>
      </c>
      <c r="AX73" s="20" t="s">
        <v>1035</v>
      </c>
      <c r="AY73" s="8"/>
    </row>
    <row r="74" customFormat="false" ht="22.35" hidden="false" customHeight="false" outlineLevel="0" collapsed="false">
      <c r="A74" s="7" t="n">
        <v>353</v>
      </c>
      <c r="B74" s="8" t="s">
        <v>426</v>
      </c>
      <c r="C74" s="8" t="s">
        <v>1055</v>
      </c>
      <c r="D74" s="8" t="s">
        <v>409</v>
      </c>
      <c r="E74" s="7" t="n">
        <v>1</v>
      </c>
      <c r="F74" s="7" t="n">
        <v>2</v>
      </c>
      <c r="G74" s="7" t="n">
        <v>1</v>
      </c>
      <c r="H74" s="7" t="n">
        <v>2</v>
      </c>
      <c r="I74" s="7" t="n">
        <v>2</v>
      </c>
      <c r="J74" s="7" t="n">
        <v>1</v>
      </c>
      <c r="K74" s="7" t="n">
        <v>3</v>
      </c>
      <c r="L74" s="7" t="n">
        <v>5</v>
      </c>
      <c r="M74" s="9"/>
      <c r="N74" s="7" t="n">
        <v>4</v>
      </c>
      <c r="O74" s="7" t="n">
        <v>3</v>
      </c>
      <c r="P74" s="7" t="n">
        <v>5</v>
      </c>
      <c r="Q74" s="7" t="n">
        <v>2</v>
      </c>
      <c r="R74" s="7" t="n">
        <v>5</v>
      </c>
      <c r="S74" s="7" t="n">
        <v>2</v>
      </c>
      <c r="T74" s="7" t="n">
        <v>3</v>
      </c>
      <c r="U74" s="7" t="n">
        <v>5</v>
      </c>
      <c r="V74" s="7" t="n">
        <v>4</v>
      </c>
      <c r="W74" s="19" t="n">
        <v>3</v>
      </c>
      <c r="X74" s="7" t="n">
        <v>4</v>
      </c>
      <c r="Y74" s="7" t="n">
        <v>3</v>
      </c>
      <c r="Z74" s="7" t="n">
        <v>3</v>
      </c>
      <c r="AA74" s="7" t="n">
        <v>4</v>
      </c>
      <c r="AB74" s="7" t="n">
        <v>4</v>
      </c>
      <c r="AC74" s="7" t="n">
        <v>4</v>
      </c>
      <c r="AD74" s="7" t="n">
        <v>5</v>
      </c>
      <c r="AE74" s="7" t="n">
        <v>4</v>
      </c>
      <c r="AF74" s="7" t="n">
        <v>5</v>
      </c>
      <c r="AG74" s="7" t="n">
        <v>5</v>
      </c>
      <c r="AH74" s="7" t="n">
        <v>4</v>
      </c>
      <c r="AI74" s="7" t="n">
        <v>5</v>
      </c>
      <c r="AJ74" s="9"/>
      <c r="AK74" s="7" t="n">
        <v>4</v>
      </c>
      <c r="AL74" s="7" t="n">
        <v>2</v>
      </c>
      <c r="AM74" s="7" t="n">
        <v>2</v>
      </c>
      <c r="AN74" s="7" t="n">
        <v>3</v>
      </c>
      <c r="AO74" s="16" t="n">
        <f aca="false">MAX(E74:K74)</f>
        <v>3</v>
      </c>
      <c r="AP74" s="17" t="n">
        <f aca="false">AVERAGE(N74:R74)</f>
        <v>3.8</v>
      </c>
      <c r="AQ74" s="17" t="n">
        <f aca="false">AVERAGE(S74:V74)</f>
        <v>3.5</v>
      </c>
      <c r="AR74" s="17" t="n">
        <f aca="false">AVERAGE(W74,X74,Z74,AB74)</f>
        <v>3.5</v>
      </c>
      <c r="AS74" s="17" t="n">
        <f aca="false">AVERAGE(AC74:AF74)</f>
        <v>4.5</v>
      </c>
      <c r="AT74" s="17" t="n">
        <f aca="false">AVERAGE(Y74,AA74,AG74:AM74)</f>
        <v>3.625</v>
      </c>
      <c r="AU74" s="18" t="n">
        <f aca="false">(AO74+AP74+AQ74+AR74+AS74+(6-AT74))/6</f>
        <v>3.44583333333333</v>
      </c>
      <c r="AV74" s="7" t="s">
        <v>1033</v>
      </c>
      <c r="AW74" s="7" t="s">
        <v>1033</v>
      </c>
      <c r="AX74" s="20" t="s">
        <v>1035</v>
      </c>
      <c r="AY74" s="8"/>
    </row>
    <row r="75" customFormat="false" ht="15" hidden="false" customHeight="false" outlineLevel="0" collapsed="false">
      <c r="A75" s="7" t="n">
        <v>354</v>
      </c>
      <c r="B75" s="8" t="s">
        <v>631</v>
      </c>
      <c r="C75" s="8" t="s">
        <v>632</v>
      </c>
      <c r="D75" s="8" t="s">
        <v>588</v>
      </c>
      <c r="E75" s="7" t="n">
        <v>1</v>
      </c>
      <c r="F75" s="7" t="n">
        <v>1</v>
      </c>
      <c r="G75" s="7" t="n">
        <v>1</v>
      </c>
      <c r="H75" s="7" t="n">
        <v>4</v>
      </c>
      <c r="I75" s="7" t="n">
        <v>3</v>
      </c>
      <c r="J75" s="7" t="n">
        <v>1</v>
      </c>
      <c r="K75" s="7" t="n">
        <v>4</v>
      </c>
      <c r="L75" s="7" t="n">
        <v>3</v>
      </c>
      <c r="M75" s="9"/>
      <c r="N75" s="7" t="n">
        <v>4</v>
      </c>
      <c r="O75" s="7" t="n">
        <v>3</v>
      </c>
      <c r="P75" s="7" t="n">
        <v>3</v>
      </c>
      <c r="Q75" s="7" t="n">
        <v>5</v>
      </c>
      <c r="R75" s="7" t="n">
        <v>3</v>
      </c>
      <c r="S75" s="7" t="n">
        <v>3</v>
      </c>
      <c r="T75" s="7" t="n">
        <v>3</v>
      </c>
      <c r="U75" s="7" t="n">
        <v>3</v>
      </c>
      <c r="V75" s="7" t="n">
        <v>5</v>
      </c>
      <c r="W75" s="19" t="n">
        <v>3</v>
      </c>
      <c r="X75" s="7" t="n">
        <v>3</v>
      </c>
      <c r="Y75" s="7" t="n">
        <v>2</v>
      </c>
      <c r="Z75" s="7" t="n">
        <v>3</v>
      </c>
      <c r="AA75" s="7" t="n">
        <v>4</v>
      </c>
      <c r="AB75" s="7" t="n">
        <v>3</v>
      </c>
      <c r="AC75" s="7" t="n">
        <v>3</v>
      </c>
      <c r="AD75" s="7" t="n">
        <v>3</v>
      </c>
      <c r="AE75" s="7" t="n">
        <v>3</v>
      </c>
      <c r="AF75" s="7" t="n">
        <v>3</v>
      </c>
      <c r="AG75" s="7" t="n">
        <v>4</v>
      </c>
      <c r="AH75" s="7" t="n">
        <v>3</v>
      </c>
      <c r="AI75" s="7" t="n">
        <v>3</v>
      </c>
      <c r="AJ75" s="9"/>
      <c r="AK75" s="7" t="n">
        <v>2</v>
      </c>
      <c r="AL75" s="7" t="n">
        <v>2</v>
      </c>
      <c r="AM75" s="7" t="n">
        <v>1</v>
      </c>
      <c r="AN75" s="7" t="n">
        <v>4</v>
      </c>
      <c r="AO75" s="16" t="n">
        <f aca="false">MAX(E75:K75)</f>
        <v>4</v>
      </c>
      <c r="AP75" s="17" t="n">
        <f aca="false">AVERAGE(N75:R75)</f>
        <v>3.6</v>
      </c>
      <c r="AQ75" s="17" t="n">
        <f aca="false">AVERAGE(S75:V75)</f>
        <v>3.5</v>
      </c>
      <c r="AR75" s="17" t="n">
        <f aca="false">AVERAGE(W75,X75,Z75,AB75)</f>
        <v>3</v>
      </c>
      <c r="AS75" s="17" t="n">
        <f aca="false">AVERAGE(AC75:AF75)</f>
        <v>3</v>
      </c>
      <c r="AT75" s="17" t="n">
        <f aca="false">AVERAGE(Y75,AA75,AG75:AM75)</f>
        <v>2.625</v>
      </c>
      <c r="AU75" s="18" t="n">
        <f aca="false">(AO75+AP75+AQ75+AR75+AS75+(6-AT75))/6</f>
        <v>3.4125</v>
      </c>
      <c r="AV75" s="7" t="s">
        <v>1033</v>
      </c>
      <c r="AW75" s="7" t="s">
        <v>1030</v>
      </c>
      <c r="AX75" s="20" t="s">
        <v>1035</v>
      </c>
      <c r="AY75" s="8"/>
    </row>
    <row r="76" customFormat="false" ht="15" hidden="false" customHeight="false" outlineLevel="0" collapsed="false">
      <c r="A76" s="7" t="n">
        <v>355</v>
      </c>
      <c r="B76" s="8" t="s">
        <v>539</v>
      </c>
      <c r="C76" s="8" t="s">
        <v>540</v>
      </c>
      <c r="D76" s="8" t="s">
        <v>491</v>
      </c>
      <c r="E76" s="7" t="n">
        <v>4</v>
      </c>
      <c r="F76" s="7" t="n">
        <v>3</v>
      </c>
      <c r="G76" s="7" t="n">
        <v>1</v>
      </c>
      <c r="H76" s="7" t="n">
        <v>1</v>
      </c>
      <c r="I76" s="7" t="n">
        <v>3</v>
      </c>
      <c r="J76" s="7" t="n">
        <v>3</v>
      </c>
      <c r="K76" s="7" t="n">
        <v>2</v>
      </c>
      <c r="L76" s="7" t="n">
        <v>3</v>
      </c>
      <c r="M76" s="9"/>
      <c r="N76" s="7" t="n">
        <v>3</v>
      </c>
      <c r="O76" s="7" t="n">
        <v>2</v>
      </c>
      <c r="P76" s="7" t="n">
        <v>3</v>
      </c>
      <c r="Q76" s="7" t="n">
        <v>4</v>
      </c>
      <c r="R76" s="7" t="n">
        <v>3</v>
      </c>
      <c r="S76" s="7" t="n">
        <v>3</v>
      </c>
      <c r="T76" s="7" t="n">
        <v>2</v>
      </c>
      <c r="U76" s="7" t="n">
        <v>1</v>
      </c>
      <c r="V76" s="7" t="n">
        <v>3</v>
      </c>
      <c r="W76" s="19" t="n">
        <v>3</v>
      </c>
      <c r="X76" s="7" t="n">
        <v>2</v>
      </c>
      <c r="Y76" s="7" t="n">
        <v>4</v>
      </c>
      <c r="Z76" s="7" t="n">
        <v>3</v>
      </c>
      <c r="AA76" s="7" t="n">
        <v>4</v>
      </c>
      <c r="AB76" s="7" t="n">
        <v>3</v>
      </c>
      <c r="AC76" s="7" t="n">
        <v>2</v>
      </c>
      <c r="AD76" s="7" t="n">
        <v>3</v>
      </c>
      <c r="AE76" s="7" t="n">
        <v>2</v>
      </c>
      <c r="AF76" s="7" t="n">
        <v>4</v>
      </c>
      <c r="AG76" s="7" t="n">
        <v>3</v>
      </c>
      <c r="AH76" s="7" t="n">
        <v>3</v>
      </c>
      <c r="AI76" s="7" t="n">
        <v>3</v>
      </c>
      <c r="AJ76" s="9"/>
      <c r="AK76" s="7" t="n">
        <v>4</v>
      </c>
      <c r="AL76" s="7" t="n">
        <v>3</v>
      </c>
      <c r="AM76" s="7" t="n">
        <v>4</v>
      </c>
      <c r="AN76" s="7" t="n">
        <v>3</v>
      </c>
      <c r="AO76" s="16" t="n">
        <f aca="false">MAX(E76:K76)</f>
        <v>4</v>
      </c>
      <c r="AP76" s="17" t="n">
        <f aca="false">AVERAGE(N76:R76)</f>
        <v>3</v>
      </c>
      <c r="AQ76" s="17" t="n">
        <f aca="false">AVERAGE(S76:V76)</f>
        <v>2.25</v>
      </c>
      <c r="AR76" s="17" t="n">
        <f aca="false">AVERAGE(W76,X76,Z76,AB76)</f>
        <v>2.75</v>
      </c>
      <c r="AS76" s="17" t="n">
        <f aca="false">AVERAGE(AC76:AF76)</f>
        <v>2.75</v>
      </c>
      <c r="AT76" s="17" t="n">
        <f aca="false">AVERAGE(Y76,AA76,AG76:AM76)</f>
        <v>3.5</v>
      </c>
      <c r="AU76" s="18" t="n">
        <f aca="false">(AO76+AP76+AQ76+AR76+AS76+(6-AT76))/6</f>
        <v>2.875</v>
      </c>
      <c r="AV76" s="7" t="s">
        <v>1033</v>
      </c>
      <c r="AW76" s="7" t="s">
        <v>1030</v>
      </c>
      <c r="AX76" s="20" t="s">
        <v>1035</v>
      </c>
      <c r="AY76" s="8"/>
    </row>
    <row r="77" customFormat="false" ht="15" hidden="false" customHeight="false" outlineLevel="0" collapsed="false">
      <c r="A77" s="7" t="n">
        <v>356</v>
      </c>
      <c r="B77" s="8" t="s">
        <v>548</v>
      </c>
      <c r="C77" s="8" t="s">
        <v>549</v>
      </c>
      <c r="D77" s="8" t="s">
        <v>491</v>
      </c>
      <c r="E77" s="7" t="n">
        <v>1</v>
      </c>
      <c r="F77" s="7" t="n">
        <v>1</v>
      </c>
      <c r="G77" s="7" t="n">
        <v>1</v>
      </c>
      <c r="H77" s="7" t="n">
        <v>5</v>
      </c>
      <c r="I77" s="7" t="n">
        <v>1</v>
      </c>
      <c r="J77" s="7" t="n">
        <v>1</v>
      </c>
      <c r="K77" s="7" t="n">
        <v>1</v>
      </c>
      <c r="L77" s="7" t="n">
        <v>5</v>
      </c>
      <c r="M77" s="9"/>
      <c r="N77" s="7" t="n">
        <v>2</v>
      </c>
      <c r="O77" s="7" t="n">
        <v>3</v>
      </c>
      <c r="P77" s="7" t="n">
        <v>3</v>
      </c>
      <c r="Q77" s="7" t="n">
        <v>4</v>
      </c>
      <c r="R77" s="7" t="n">
        <v>4</v>
      </c>
      <c r="S77" s="7" t="n">
        <v>3</v>
      </c>
      <c r="T77" s="7" t="n">
        <v>3</v>
      </c>
      <c r="U77" s="7" t="n">
        <v>4</v>
      </c>
      <c r="V77" s="7" t="n">
        <v>5</v>
      </c>
      <c r="W77" s="19" t="n">
        <v>3</v>
      </c>
      <c r="X77" s="7" t="n">
        <v>5</v>
      </c>
      <c r="Y77" s="7" t="n">
        <v>3</v>
      </c>
      <c r="Z77" s="7" t="n">
        <v>3</v>
      </c>
      <c r="AA77" s="7" t="n">
        <v>4</v>
      </c>
      <c r="AB77" s="7" t="n">
        <v>3</v>
      </c>
      <c r="AC77" s="7" t="n">
        <v>4</v>
      </c>
      <c r="AD77" s="7" t="n">
        <v>5</v>
      </c>
      <c r="AE77" s="7" t="n">
        <v>5</v>
      </c>
      <c r="AF77" s="7" t="n">
        <v>3</v>
      </c>
      <c r="AG77" s="7" t="n">
        <v>5</v>
      </c>
      <c r="AH77" s="7" t="n">
        <v>4</v>
      </c>
      <c r="AI77" s="7" t="n">
        <v>5</v>
      </c>
      <c r="AJ77" s="9"/>
      <c r="AK77" s="7" t="n">
        <v>4</v>
      </c>
      <c r="AL77" s="7" t="n">
        <v>2</v>
      </c>
      <c r="AM77" s="7" t="n">
        <v>1</v>
      </c>
      <c r="AN77" s="7" t="n">
        <v>4</v>
      </c>
      <c r="AO77" s="16" t="n">
        <f aca="false">MAX(E77:K77)</f>
        <v>5</v>
      </c>
      <c r="AP77" s="17" t="n">
        <f aca="false">AVERAGE(N77:R77)</f>
        <v>3.2</v>
      </c>
      <c r="AQ77" s="17" t="n">
        <f aca="false">AVERAGE(S77:V77)</f>
        <v>3.75</v>
      </c>
      <c r="AR77" s="17" t="n">
        <f aca="false">AVERAGE(W77,X77,Z77,AB77)</f>
        <v>3.5</v>
      </c>
      <c r="AS77" s="17" t="n">
        <f aca="false">AVERAGE(AC77:AF77)</f>
        <v>4.25</v>
      </c>
      <c r="AT77" s="17" t="n">
        <f aca="false">AVERAGE(Y77,AA77,AG77:AM77)</f>
        <v>3.5</v>
      </c>
      <c r="AU77" s="18" t="n">
        <f aca="false">(AO77+AP77+AQ77+AR77+AS77+(6-AT77))/6</f>
        <v>3.7</v>
      </c>
      <c r="AV77" s="7" t="s">
        <v>1029</v>
      </c>
      <c r="AW77" s="7" t="s">
        <v>1030</v>
      </c>
      <c r="AX77" s="20" t="s">
        <v>1035</v>
      </c>
      <c r="AY77" s="8"/>
    </row>
    <row r="78" customFormat="false" ht="22.35" hidden="false" customHeight="false" outlineLevel="0" collapsed="false">
      <c r="A78" s="7" t="n">
        <v>357</v>
      </c>
      <c r="B78" s="8" t="s">
        <v>859</v>
      </c>
      <c r="C78" s="8" t="s">
        <v>860</v>
      </c>
      <c r="D78" s="8" t="s">
        <v>814</v>
      </c>
      <c r="E78" s="7" t="n">
        <v>1</v>
      </c>
      <c r="F78" s="7" t="n">
        <v>1</v>
      </c>
      <c r="G78" s="7" t="n">
        <v>1</v>
      </c>
      <c r="H78" s="7" t="n">
        <v>1</v>
      </c>
      <c r="I78" s="7" t="n">
        <v>2</v>
      </c>
      <c r="J78" s="7" t="n">
        <v>1</v>
      </c>
      <c r="K78" s="7" t="n">
        <v>1</v>
      </c>
      <c r="L78" s="7" t="n">
        <v>5</v>
      </c>
      <c r="M78" s="9"/>
      <c r="N78" s="7" t="n">
        <v>1</v>
      </c>
      <c r="O78" s="7" t="n">
        <v>2</v>
      </c>
      <c r="P78" s="7" t="n">
        <v>3</v>
      </c>
      <c r="Q78" s="7" t="n">
        <v>2</v>
      </c>
      <c r="R78" s="7" t="n">
        <v>3</v>
      </c>
      <c r="S78" s="7" t="n">
        <v>2</v>
      </c>
      <c r="T78" s="7" t="n">
        <v>2</v>
      </c>
      <c r="U78" s="7" t="n">
        <v>1</v>
      </c>
      <c r="V78" s="7" t="n">
        <v>4</v>
      </c>
      <c r="W78" s="19" t="n">
        <v>3</v>
      </c>
      <c r="X78" s="7" t="n">
        <v>4</v>
      </c>
      <c r="Y78" s="7" t="n">
        <v>5</v>
      </c>
      <c r="Z78" s="7" t="n">
        <v>2</v>
      </c>
      <c r="AA78" s="7" t="n">
        <v>5</v>
      </c>
      <c r="AB78" s="7" t="n">
        <v>3</v>
      </c>
      <c r="AC78" s="7" t="n">
        <v>3</v>
      </c>
      <c r="AD78" s="7" t="n">
        <v>5</v>
      </c>
      <c r="AE78" s="7" t="n">
        <v>3</v>
      </c>
      <c r="AF78" s="7" t="n">
        <v>3</v>
      </c>
      <c r="AG78" s="7" t="n">
        <v>5</v>
      </c>
      <c r="AH78" s="7" t="n">
        <v>5</v>
      </c>
      <c r="AI78" s="7" t="n">
        <v>5</v>
      </c>
      <c r="AJ78" s="9"/>
      <c r="AK78" s="7" t="n">
        <v>5</v>
      </c>
      <c r="AL78" s="7" t="n">
        <v>2</v>
      </c>
      <c r="AM78" s="7" t="n">
        <v>4</v>
      </c>
      <c r="AN78" s="7" t="n">
        <v>2</v>
      </c>
      <c r="AO78" s="16" t="n">
        <f aca="false">MAX(E78:K78)</f>
        <v>2</v>
      </c>
      <c r="AP78" s="17" t="n">
        <f aca="false">AVERAGE(N78:R78)</f>
        <v>2.2</v>
      </c>
      <c r="AQ78" s="17" t="n">
        <f aca="false">AVERAGE(S78:V78)</f>
        <v>2.25</v>
      </c>
      <c r="AR78" s="17" t="n">
        <f aca="false">AVERAGE(W78,X78,Z78,AB78)</f>
        <v>3</v>
      </c>
      <c r="AS78" s="17" t="n">
        <f aca="false">AVERAGE(AC78:AF78)</f>
        <v>3.5</v>
      </c>
      <c r="AT78" s="17" t="n">
        <f aca="false">AVERAGE(Y78,AA78,AG78:AM78)</f>
        <v>4.5</v>
      </c>
      <c r="AU78" s="18" t="n">
        <f aca="false">(AO78+AP78+AQ78+AR78+AS78+(6-AT78))/6</f>
        <v>2.40833333333333</v>
      </c>
      <c r="AV78" s="7" t="s">
        <v>1033</v>
      </c>
      <c r="AW78" s="7" t="s">
        <v>1030</v>
      </c>
      <c r="AX78" s="20" t="s">
        <v>1035</v>
      </c>
      <c r="AY78" s="8"/>
    </row>
    <row r="79" customFormat="false" ht="22.35" hidden="false" customHeight="false" outlineLevel="0" collapsed="false">
      <c r="A79" s="7" t="n">
        <v>358</v>
      </c>
      <c r="B79" s="8" t="s">
        <v>722</v>
      </c>
      <c r="C79" s="8" t="s">
        <v>723</v>
      </c>
      <c r="D79" s="8" t="s">
        <v>670</v>
      </c>
      <c r="E79" s="7" t="n">
        <v>1</v>
      </c>
      <c r="F79" s="7" t="n">
        <v>1</v>
      </c>
      <c r="G79" s="7" t="n">
        <v>1</v>
      </c>
      <c r="H79" s="7" t="n">
        <v>1</v>
      </c>
      <c r="I79" s="7" t="n">
        <v>1</v>
      </c>
      <c r="J79" s="7" t="n">
        <v>1</v>
      </c>
      <c r="K79" s="7" t="n">
        <v>3</v>
      </c>
      <c r="L79" s="7" t="n">
        <v>3</v>
      </c>
      <c r="M79" s="9"/>
      <c r="N79" s="7" t="n">
        <v>3</v>
      </c>
      <c r="O79" s="7" t="n">
        <v>2</v>
      </c>
      <c r="P79" s="7" t="n">
        <v>3</v>
      </c>
      <c r="Q79" s="7" t="n">
        <v>2</v>
      </c>
      <c r="R79" s="7" t="n">
        <v>2</v>
      </c>
      <c r="S79" s="7" t="n">
        <v>2</v>
      </c>
      <c r="T79" s="7" t="n">
        <v>3</v>
      </c>
      <c r="U79" s="7" t="n">
        <v>1</v>
      </c>
      <c r="V79" s="7" t="n">
        <v>3</v>
      </c>
      <c r="W79" s="19" t="n">
        <v>3</v>
      </c>
      <c r="X79" s="7" t="n">
        <v>3</v>
      </c>
      <c r="Y79" s="7" t="n">
        <v>3</v>
      </c>
      <c r="Z79" s="7" t="n">
        <v>4</v>
      </c>
      <c r="AA79" s="7" t="n">
        <v>3</v>
      </c>
      <c r="AB79" s="7" t="n">
        <v>3</v>
      </c>
      <c r="AC79" s="7" t="n">
        <v>3</v>
      </c>
      <c r="AD79" s="7" t="n">
        <v>3</v>
      </c>
      <c r="AE79" s="7" t="n">
        <v>3</v>
      </c>
      <c r="AF79" s="7" t="n">
        <v>4</v>
      </c>
      <c r="AG79" s="7" t="n">
        <v>3</v>
      </c>
      <c r="AH79" s="7" t="n">
        <v>2</v>
      </c>
      <c r="AI79" s="7" t="n">
        <v>3</v>
      </c>
      <c r="AJ79" s="9"/>
      <c r="AK79" s="7" t="n">
        <v>3</v>
      </c>
      <c r="AL79" s="7" t="n">
        <v>3</v>
      </c>
      <c r="AM79" s="7" t="n">
        <v>2</v>
      </c>
      <c r="AN79" s="7" t="n">
        <v>1</v>
      </c>
      <c r="AO79" s="16" t="n">
        <f aca="false">MAX(E79:K79)</f>
        <v>3</v>
      </c>
      <c r="AP79" s="17" t="n">
        <f aca="false">AVERAGE(N79:R79)</f>
        <v>2.4</v>
      </c>
      <c r="AQ79" s="17" t="n">
        <f aca="false">AVERAGE(S79:V79)</f>
        <v>2.25</v>
      </c>
      <c r="AR79" s="17" t="n">
        <f aca="false">AVERAGE(W79,X79,Z79,AB79)</f>
        <v>3.25</v>
      </c>
      <c r="AS79" s="17" t="n">
        <f aca="false">AVERAGE(AC79:AF79)</f>
        <v>3.25</v>
      </c>
      <c r="AT79" s="17" t="n">
        <f aca="false">AVERAGE(Y79,AA79,AG79:AM79)</f>
        <v>2.75</v>
      </c>
      <c r="AU79" s="18" t="n">
        <f aca="false">(AO79+AP79+AQ79+AR79+AS79+(6-AT79))/6</f>
        <v>2.9</v>
      </c>
      <c r="AV79" s="7" t="s">
        <v>1033</v>
      </c>
      <c r="AW79" s="7" t="s">
        <v>1030</v>
      </c>
      <c r="AX79" s="20" t="s">
        <v>1035</v>
      </c>
      <c r="AY79" s="8"/>
    </row>
    <row r="80" customFormat="false" ht="22.35" hidden="false" customHeight="false" outlineLevel="0" collapsed="false">
      <c r="A80" s="7" t="n">
        <v>359</v>
      </c>
      <c r="B80" s="8" t="s">
        <v>426</v>
      </c>
      <c r="C80" s="8" t="s">
        <v>730</v>
      </c>
      <c r="D80" s="8" t="s">
        <v>670</v>
      </c>
      <c r="E80" s="7" t="n">
        <v>1</v>
      </c>
      <c r="F80" s="7" t="n">
        <v>1</v>
      </c>
      <c r="G80" s="7" t="n">
        <v>1</v>
      </c>
      <c r="H80" s="7" t="n">
        <v>1</v>
      </c>
      <c r="I80" s="7" t="n">
        <v>1</v>
      </c>
      <c r="J80" s="7" t="n">
        <v>1</v>
      </c>
      <c r="K80" s="7" t="n">
        <v>3</v>
      </c>
      <c r="L80" s="7" t="n">
        <v>4</v>
      </c>
      <c r="M80" s="9"/>
      <c r="N80" s="7" t="n">
        <v>4</v>
      </c>
      <c r="O80" s="7" t="n">
        <v>3</v>
      </c>
      <c r="P80" s="7" t="n">
        <v>3</v>
      </c>
      <c r="Q80" s="7" t="n">
        <v>4</v>
      </c>
      <c r="R80" s="7" t="n">
        <v>4</v>
      </c>
      <c r="S80" s="7" t="n">
        <v>2</v>
      </c>
      <c r="T80" s="7" t="n">
        <v>3</v>
      </c>
      <c r="U80" s="7" t="n">
        <v>5</v>
      </c>
      <c r="V80" s="7" t="n">
        <v>3</v>
      </c>
      <c r="W80" s="19" t="n">
        <v>3</v>
      </c>
      <c r="X80" s="7" t="n">
        <v>2</v>
      </c>
      <c r="Y80" s="7" t="n">
        <v>4</v>
      </c>
      <c r="Z80" s="7" t="n">
        <v>3</v>
      </c>
      <c r="AA80" s="7" t="n">
        <v>3</v>
      </c>
      <c r="AB80" s="7" t="n">
        <v>3</v>
      </c>
      <c r="AC80" s="7" t="n">
        <v>4</v>
      </c>
      <c r="AD80" s="7" t="n">
        <v>4</v>
      </c>
      <c r="AE80" s="7" t="n">
        <v>2</v>
      </c>
      <c r="AF80" s="7" t="n">
        <v>4</v>
      </c>
      <c r="AG80" s="7" t="n">
        <v>4</v>
      </c>
      <c r="AH80" s="7" t="n">
        <v>4</v>
      </c>
      <c r="AI80" s="7" t="n">
        <v>4</v>
      </c>
      <c r="AJ80" s="9"/>
      <c r="AK80" s="7" t="n">
        <v>4</v>
      </c>
      <c r="AL80" s="7" t="n">
        <v>3</v>
      </c>
      <c r="AM80" s="7" t="n">
        <v>5</v>
      </c>
      <c r="AN80" s="7" t="n">
        <v>2</v>
      </c>
      <c r="AO80" s="16" t="n">
        <f aca="false">MAX(E80:K80)</f>
        <v>3</v>
      </c>
      <c r="AP80" s="17" t="n">
        <f aca="false">AVERAGE(N80:R80)</f>
        <v>3.6</v>
      </c>
      <c r="AQ80" s="17" t="n">
        <f aca="false">AVERAGE(S80:V80)</f>
        <v>3.25</v>
      </c>
      <c r="AR80" s="17" t="n">
        <f aca="false">AVERAGE(W80,X80,Z80,AB80)</f>
        <v>2.75</v>
      </c>
      <c r="AS80" s="17" t="n">
        <f aca="false">AVERAGE(AC80:AF80)</f>
        <v>3.5</v>
      </c>
      <c r="AT80" s="17" t="n">
        <f aca="false">AVERAGE(Y80,AA80,AG80:AM80)</f>
        <v>3.875</v>
      </c>
      <c r="AU80" s="18" t="n">
        <f aca="false">(AO80+AP80+AQ80+AR80+AS80+(6-AT80))/6</f>
        <v>3.0375</v>
      </c>
      <c r="AV80" s="7" t="s">
        <v>1033</v>
      </c>
      <c r="AW80" s="7" t="s">
        <v>1030</v>
      </c>
      <c r="AX80" s="20" t="s">
        <v>1035</v>
      </c>
      <c r="AY80" s="8"/>
    </row>
    <row r="81" customFormat="false" ht="22.35" hidden="false" customHeight="false" outlineLevel="0" collapsed="false">
      <c r="A81" s="7" t="n">
        <v>360</v>
      </c>
      <c r="B81" s="8" t="s">
        <v>472</v>
      </c>
      <c r="C81" s="8" t="s">
        <v>473</v>
      </c>
      <c r="D81" s="8" t="s">
        <v>409</v>
      </c>
      <c r="E81" s="7" t="n">
        <v>1</v>
      </c>
      <c r="F81" s="7" t="n">
        <v>1</v>
      </c>
      <c r="G81" s="7" t="n">
        <v>1</v>
      </c>
      <c r="H81" s="7" t="n">
        <v>2</v>
      </c>
      <c r="I81" s="7" t="n">
        <v>1</v>
      </c>
      <c r="J81" s="7" t="n">
        <v>1</v>
      </c>
      <c r="K81" s="7" t="n">
        <v>1</v>
      </c>
      <c r="L81" s="7" t="n">
        <v>4</v>
      </c>
      <c r="M81" s="9"/>
      <c r="N81" s="7" t="n">
        <v>5</v>
      </c>
      <c r="O81" s="7" t="n">
        <v>2</v>
      </c>
      <c r="P81" s="7" t="n">
        <v>3</v>
      </c>
      <c r="Q81" s="7" t="n">
        <v>4</v>
      </c>
      <c r="R81" s="7" t="n">
        <v>3</v>
      </c>
      <c r="S81" s="7" t="n">
        <v>3</v>
      </c>
      <c r="T81" s="7" t="n">
        <v>3</v>
      </c>
      <c r="U81" s="7" t="n">
        <v>3</v>
      </c>
      <c r="V81" s="7" t="n">
        <v>4</v>
      </c>
      <c r="W81" s="19" t="n">
        <v>3</v>
      </c>
      <c r="X81" s="7" t="n">
        <v>1</v>
      </c>
      <c r="Y81" s="7" t="n">
        <v>3</v>
      </c>
      <c r="Z81" s="7" t="n">
        <v>3</v>
      </c>
      <c r="AA81" s="7" t="n">
        <v>4</v>
      </c>
      <c r="AB81" s="7" t="n">
        <v>3</v>
      </c>
      <c r="AC81" s="7" t="n">
        <v>2</v>
      </c>
      <c r="AD81" s="7" t="n">
        <v>4</v>
      </c>
      <c r="AE81" s="7" t="n">
        <v>3</v>
      </c>
      <c r="AF81" s="7" t="n">
        <v>3</v>
      </c>
      <c r="AG81" s="7" t="n">
        <v>3</v>
      </c>
      <c r="AH81" s="7" t="n">
        <v>4</v>
      </c>
      <c r="AI81" s="7" t="n">
        <v>2</v>
      </c>
      <c r="AJ81" s="9"/>
      <c r="AK81" s="7" t="n">
        <v>4</v>
      </c>
      <c r="AL81" s="7" t="n">
        <v>3</v>
      </c>
      <c r="AM81" s="7" t="n">
        <v>3</v>
      </c>
      <c r="AN81" s="7" t="n">
        <v>3</v>
      </c>
      <c r="AO81" s="16" t="n">
        <f aca="false">MAX(E81:K81)</f>
        <v>2</v>
      </c>
      <c r="AP81" s="17" t="n">
        <f aca="false">AVERAGE(N81:R81)</f>
        <v>3.4</v>
      </c>
      <c r="AQ81" s="17" t="n">
        <f aca="false">AVERAGE(S81:V81)</f>
        <v>3.25</v>
      </c>
      <c r="AR81" s="17" t="n">
        <f aca="false">AVERAGE(W81,X81,Z81,AB81)</f>
        <v>2.5</v>
      </c>
      <c r="AS81" s="17" t="n">
        <f aca="false">AVERAGE(AC81:AF81)</f>
        <v>3</v>
      </c>
      <c r="AT81" s="17" t="n">
        <f aca="false">AVERAGE(Y81,AA81,AG81:AM81)</f>
        <v>3.25</v>
      </c>
      <c r="AU81" s="18" t="n">
        <f aca="false">(AO81+AP81+AQ81+AR81+AS81+(6-AT81))/6</f>
        <v>2.81666666666667</v>
      </c>
      <c r="AV81" s="7" t="s">
        <v>1030</v>
      </c>
      <c r="AW81" s="7" t="s">
        <v>1030</v>
      </c>
      <c r="AX81" s="20" t="s">
        <v>1035</v>
      </c>
      <c r="AY81" s="8"/>
    </row>
    <row r="82" customFormat="false" ht="22.35" hidden="false" customHeight="false" outlineLevel="0" collapsed="false">
      <c r="A82" s="7" t="n">
        <v>361</v>
      </c>
      <c r="B82" s="8" t="s">
        <v>302</v>
      </c>
      <c r="C82" s="8" t="s">
        <v>556</v>
      </c>
      <c r="D82" s="8" t="s">
        <v>491</v>
      </c>
      <c r="E82" s="7" t="n">
        <v>1</v>
      </c>
      <c r="F82" s="7" t="n">
        <v>1</v>
      </c>
      <c r="G82" s="7" t="n">
        <v>4</v>
      </c>
      <c r="H82" s="7" t="n">
        <v>4</v>
      </c>
      <c r="I82" s="7" t="n">
        <v>2</v>
      </c>
      <c r="J82" s="7" t="n">
        <v>3</v>
      </c>
      <c r="K82" s="7" t="n">
        <v>1</v>
      </c>
      <c r="L82" s="7" t="n">
        <v>3</v>
      </c>
      <c r="M82" s="9"/>
      <c r="N82" s="7" t="n">
        <v>5</v>
      </c>
      <c r="O82" s="7" t="n">
        <v>3</v>
      </c>
      <c r="P82" s="7" t="n">
        <v>3</v>
      </c>
      <c r="Q82" s="7" t="n">
        <v>3</v>
      </c>
      <c r="R82" s="7" t="n">
        <v>3</v>
      </c>
      <c r="S82" s="7" t="n">
        <v>3</v>
      </c>
      <c r="T82" s="7" t="n">
        <v>3</v>
      </c>
      <c r="U82" s="7" t="n">
        <v>4</v>
      </c>
      <c r="V82" s="7" t="n">
        <v>4</v>
      </c>
      <c r="W82" s="19" t="n">
        <v>3</v>
      </c>
      <c r="X82" s="7" t="n">
        <v>5</v>
      </c>
      <c r="Y82" s="7" t="n">
        <v>2</v>
      </c>
      <c r="Z82" s="7" t="n">
        <v>3</v>
      </c>
      <c r="AA82" s="7" t="n">
        <v>3</v>
      </c>
      <c r="AB82" s="7" t="n">
        <v>3</v>
      </c>
      <c r="AC82" s="7" t="n">
        <v>4</v>
      </c>
      <c r="AD82" s="7" t="n">
        <v>3</v>
      </c>
      <c r="AE82" s="7" t="n">
        <v>4</v>
      </c>
      <c r="AF82" s="7" t="n">
        <v>3</v>
      </c>
      <c r="AG82" s="7" t="n">
        <v>4</v>
      </c>
      <c r="AH82" s="7" t="n">
        <v>3</v>
      </c>
      <c r="AI82" s="7" t="n">
        <v>2</v>
      </c>
      <c r="AJ82" s="9"/>
      <c r="AK82" s="7" t="n">
        <v>2</v>
      </c>
      <c r="AL82" s="7" t="n">
        <v>2</v>
      </c>
      <c r="AM82" s="7" t="n">
        <v>1</v>
      </c>
      <c r="AN82" s="7" t="n">
        <v>3</v>
      </c>
      <c r="AO82" s="16" t="n">
        <f aca="false">MAX(E82:K82)</f>
        <v>4</v>
      </c>
      <c r="AP82" s="17" t="n">
        <f aca="false">AVERAGE(N82:R82)</f>
        <v>3.4</v>
      </c>
      <c r="AQ82" s="17" t="n">
        <f aca="false">AVERAGE(S82:V82)</f>
        <v>3.5</v>
      </c>
      <c r="AR82" s="17" t="n">
        <f aca="false">AVERAGE(W82,X82,Z82,AB82)</f>
        <v>3.5</v>
      </c>
      <c r="AS82" s="17" t="n">
        <f aca="false">AVERAGE(AC82:AF82)</f>
        <v>3.5</v>
      </c>
      <c r="AT82" s="17" t="n">
        <f aca="false">AVERAGE(Y82,AA82,AG82:AM82)</f>
        <v>2.375</v>
      </c>
      <c r="AU82" s="18" t="n">
        <f aca="false">(AO82+AP82+AQ82+AR82+AS82+(6-AT82))/6</f>
        <v>3.5875</v>
      </c>
      <c r="AV82" s="7" t="s">
        <v>1029</v>
      </c>
      <c r="AW82" s="7" t="s">
        <v>1030</v>
      </c>
      <c r="AX82" s="20" t="s">
        <v>1035</v>
      </c>
      <c r="AY82" s="8"/>
    </row>
    <row r="83" customFormat="false" ht="22.35" hidden="false" customHeight="false" outlineLevel="0" collapsed="false">
      <c r="A83" s="7" t="n">
        <v>362</v>
      </c>
      <c r="B83" s="8" t="s">
        <v>481</v>
      </c>
      <c r="C83" s="8" t="s">
        <v>1056</v>
      </c>
      <c r="D83" s="8" t="s">
        <v>409</v>
      </c>
      <c r="E83" s="7" t="n">
        <v>1</v>
      </c>
      <c r="F83" s="7" t="n">
        <v>1</v>
      </c>
      <c r="G83" s="7" t="n">
        <v>1</v>
      </c>
      <c r="H83" s="7" t="n">
        <v>1</v>
      </c>
      <c r="I83" s="7" t="n">
        <v>1</v>
      </c>
      <c r="J83" s="7" t="n">
        <v>1</v>
      </c>
      <c r="K83" s="7" t="n">
        <v>3</v>
      </c>
      <c r="L83" s="7" t="n">
        <v>5</v>
      </c>
      <c r="M83" s="9"/>
      <c r="N83" s="7" t="n">
        <v>1</v>
      </c>
      <c r="O83" s="7" t="n">
        <v>2</v>
      </c>
      <c r="P83" s="7" t="n">
        <v>3</v>
      </c>
      <c r="Q83" s="7" t="n">
        <v>3</v>
      </c>
      <c r="R83" s="7" t="n">
        <v>3</v>
      </c>
      <c r="S83" s="7" t="n">
        <v>2</v>
      </c>
      <c r="T83" s="7" t="n">
        <v>2</v>
      </c>
      <c r="U83" s="7" t="n">
        <v>3</v>
      </c>
      <c r="V83" s="7" t="n">
        <v>4</v>
      </c>
      <c r="W83" s="19" t="n">
        <v>3</v>
      </c>
      <c r="X83" s="7" t="n">
        <v>4</v>
      </c>
      <c r="Y83" s="7" t="n">
        <v>3</v>
      </c>
      <c r="Z83" s="7" t="n">
        <v>3</v>
      </c>
      <c r="AA83" s="7" t="n">
        <v>2</v>
      </c>
      <c r="AB83" s="7" t="n">
        <v>2</v>
      </c>
      <c r="AC83" s="7" t="n">
        <v>3</v>
      </c>
      <c r="AD83" s="7" t="n">
        <v>5</v>
      </c>
      <c r="AE83" s="7" t="n">
        <v>3</v>
      </c>
      <c r="AF83" s="7" t="n">
        <v>5</v>
      </c>
      <c r="AG83" s="7" t="n">
        <v>3</v>
      </c>
      <c r="AH83" s="7" t="n">
        <v>4</v>
      </c>
      <c r="AI83" s="7" t="n">
        <v>4</v>
      </c>
      <c r="AJ83" s="9"/>
      <c r="AK83" s="7" t="n">
        <v>3</v>
      </c>
      <c r="AL83" s="7" t="n">
        <v>2</v>
      </c>
      <c r="AM83" s="7" t="n">
        <v>3</v>
      </c>
      <c r="AN83" s="7" t="n">
        <v>1</v>
      </c>
      <c r="AO83" s="16" t="n">
        <f aca="false">MAX(E83:K83)</f>
        <v>3</v>
      </c>
      <c r="AP83" s="17" t="n">
        <f aca="false">AVERAGE(N83:R83)</f>
        <v>2.4</v>
      </c>
      <c r="AQ83" s="17" t="n">
        <f aca="false">AVERAGE(S83:V83)</f>
        <v>2.75</v>
      </c>
      <c r="AR83" s="17" t="n">
        <f aca="false">AVERAGE(W83,X83,Z83,AB83)</f>
        <v>3</v>
      </c>
      <c r="AS83" s="17" t="n">
        <f aca="false">AVERAGE(AC83:AF83)</f>
        <v>4</v>
      </c>
      <c r="AT83" s="17" t="n">
        <f aca="false">AVERAGE(Y83,AA83,AG83:AM83)</f>
        <v>3</v>
      </c>
      <c r="AU83" s="18" t="n">
        <f aca="false">(AO83+AP83+AQ83+AR83+AS83+(6-AT83))/6</f>
        <v>3.025</v>
      </c>
      <c r="AV83" s="7" t="s">
        <v>1033</v>
      </c>
      <c r="AW83" s="7" t="s">
        <v>1030</v>
      </c>
      <c r="AX83" s="20" t="s">
        <v>1035</v>
      </c>
      <c r="AY83" s="8"/>
    </row>
    <row r="84" customFormat="false" ht="22.35" hidden="false" customHeight="false" outlineLevel="0" collapsed="false">
      <c r="A84" s="7" t="n">
        <v>363</v>
      </c>
      <c r="B84" s="8" t="s">
        <v>868</v>
      </c>
      <c r="C84" s="8" t="s">
        <v>869</v>
      </c>
      <c r="D84" s="8" t="s">
        <v>814</v>
      </c>
      <c r="E84" s="7" t="n">
        <v>1</v>
      </c>
      <c r="F84" s="7" t="n">
        <v>1</v>
      </c>
      <c r="G84" s="7" t="n">
        <v>1</v>
      </c>
      <c r="H84" s="7" t="n">
        <v>2</v>
      </c>
      <c r="I84" s="7" t="n">
        <v>4</v>
      </c>
      <c r="J84" s="7" t="n">
        <v>1</v>
      </c>
      <c r="K84" s="7" t="n">
        <v>1</v>
      </c>
      <c r="L84" s="7" t="n">
        <v>4</v>
      </c>
      <c r="M84" s="9"/>
      <c r="N84" s="7" t="n">
        <v>3</v>
      </c>
      <c r="O84" s="7" t="n">
        <v>3</v>
      </c>
      <c r="P84" s="7" t="n">
        <v>3</v>
      </c>
      <c r="Q84" s="7" t="n">
        <v>3</v>
      </c>
      <c r="R84" s="7" t="n">
        <v>2</v>
      </c>
      <c r="S84" s="7" t="n">
        <v>3</v>
      </c>
      <c r="T84" s="7" t="n">
        <v>3</v>
      </c>
      <c r="U84" s="7" t="n">
        <v>2</v>
      </c>
      <c r="V84" s="7" t="n">
        <v>4</v>
      </c>
      <c r="W84" s="19" t="n">
        <v>3</v>
      </c>
      <c r="X84" s="7" t="n">
        <v>4</v>
      </c>
      <c r="Y84" s="7" t="n">
        <v>3</v>
      </c>
      <c r="Z84" s="7" t="n">
        <v>4</v>
      </c>
      <c r="AA84" s="7" t="n">
        <v>3</v>
      </c>
      <c r="AB84" s="7" t="n">
        <v>3</v>
      </c>
      <c r="AC84" s="7" t="n">
        <v>2</v>
      </c>
      <c r="AD84" s="7" t="n">
        <v>4</v>
      </c>
      <c r="AE84" s="7" t="n">
        <v>3</v>
      </c>
      <c r="AF84" s="7" t="n">
        <v>3</v>
      </c>
      <c r="AG84" s="7" t="n">
        <v>4</v>
      </c>
      <c r="AH84" s="7" t="n">
        <v>3</v>
      </c>
      <c r="AI84" s="7" t="n">
        <v>3</v>
      </c>
      <c r="AJ84" s="9"/>
      <c r="AK84" s="7" t="n">
        <v>3</v>
      </c>
      <c r="AL84" s="7" t="n">
        <v>1</v>
      </c>
      <c r="AM84" s="7" t="n">
        <v>3</v>
      </c>
      <c r="AN84" s="7" t="n">
        <v>3</v>
      </c>
      <c r="AO84" s="16" t="n">
        <f aca="false">MAX(E84:K84)</f>
        <v>4</v>
      </c>
      <c r="AP84" s="17" t="n">
        <f aca="false">AVERAGE(N84:R84)</f>
        <v>2.8</v>
      </c>
      <c r="AQ84" s="17" t="n">
        <f aca="false">AVERAGE(S84:V84)</f>
        <v>3</v>
      </c>
      <c r="AR84" s="17" t="n">
        <f aca="false">AVERAGE(W84,X84,Z84,AB84)</f>
        <v>3.5</v>
      </c>
      <c r="AS84" s="17" t="n">
        <f aca="false">AVERAGE(AC84:AF84)</f>
        <v>3</v>
      </c>
      <c r="AT84" s="17" t="n">
        <f aca="false">AVERAGE(Y84,AA84,AG84:AM84)</f>
        <v>2.875</v>
      </c>
      <c r="AU84" s="18" t="n">
        <f aca="false">(AO84+AP84+AQ84+AR84+AS84+(6-AT84))/6</f>
        <v>3.2375</v>
      </c>
      <c r="AV84" s="7" t="s">
        <v>1033</v>
      </c>
      <c r="AW84" s="7" t="s">
        <v>1030</v>
      </c>
      <c r="AX84" s="20" t="s">
        <v>1035</v>
      </c>
      <c r="AY84" s="8"/>
    </row>
    <row r="85" customFormat="false" ht="22.35" hidden="false" customHeight="false" outlineLevel="0" collapsed="false">
      <c r="A85" s="7" t="n">
        <v>364</v>
      </c>
      <c r="B85" s="8" t="s">
        <v>518</v>
      </c>
      <c r="C85" s="8" t="s">
        <v>563</v>
      </c>
      <c r="D85" s="8" t="s">
        <v>491</v>
      </c>
      <c r="E85" s="7" t="n">
        <v>2</v>
      </c>
      <c r="F85" s="7" t="n">
        <v>3</v>
      </c>
      <c r="G85" s="7" t="n">
        <v>1</v>
      </c>
      <c r="H85" s="7" t="n">
        <v>4</v>
      </c>
      <c r="I85" s="7" t="n">
        <v>3</v>
      </c>
      <c r="J85" s="7" t="n">
        <v>2</v>
      </c>
      <c r="K85" s="7" t="n">
        <v>5</v>
      </c>
      <c r="L85" s="7" t="n">
        <v>4</v>
      </c>
      <c r="M85" s="9"/>
      <c r="N85" s="7" t="n">
        <v>2</v>
      </c>
      <c r="O85" s="7" t="n">
        <v>4</v>
      </c>
      <c r="P85" s="7" t="n">
        <v>3</v>
      </c>
      <c r="Q85" s="7" t="n">
        <v>3</v>
      </c>
      <c r="R85" s="7" t="n">
        <v>4</v>
      </c>
      <c r="S85" s="7" t="n">
        <v>3</v>
      </c>
      <c r="T85" s="7" t="n">
        <v>3</v>
      </c>
      <c r="U85" s="7" t="n">
        <v>5</v>
      </c>
      <c r="V85" s="7" t="n">
        <v>5</v>
      </c>
      <c r="W85" s="19" t="n">
        <v>3</v>
      </c>
      <c r="X85" s="7" t="n">
        <v>3</v>
      </c>
      <c r="Y85" s="7" t="n">
        <v>4</v>
      </c>
      <c r="Z85" s="7" t="n">
        <v>3</v>
      </c>
      <c r="AA85" s="7" t="n">
        <v>3</v>
      </c>
      <c r="AB85" s="7" t="n">
        <v>3</v>
      </c>
      <c r="AC85" s="7" t="n">
        <v>4</v>
      </c>
      <c r="AD85" s="7" t="n">
        <v>4</v>
      </c>
      <c r="AE85" s="7" t="n">
        <v>4</v>
      </c>
      <c r="AF85" s="7" t="n">
        <v>5</v>
      </c>
      <c r="AG85" s="7" t="n">
        <v>4</v>
      </c>
      <c r="AH85" s="7" t="n">
        <v>4</v>
      </c>
      <c r="AI85" s="7" t="n">
        <v>3</v>
      </c>
      <c r="AJ85" s="9"/>
      <c r="AK85" s="7" t="n">
        <v>3</v>
      </c>
      <c r="AL85" s="7" t="n">
        <v>2</v>
      </c>
      <c r="AM85" s="7" t="n">
        <v>2</v>
      </c>
      <c r="AN85" s="7" t="n">
        <v>2</v>
      </c>
      <c r="AO85" s="16" t="n">
        <f aca="false">MAX(E85:K85)</f>
        <v>5</v>
      </c>
      <c r="AP85" s="17" t="n">
        <f aca="false">AVERAGE(N85:R85)</f>
        <v>3.2</v>
      </c>
      <c r="AQ85" s="17" t="n">
        <f aca="false">AVERAGE(S85:V85)</f>
        <v>4</v>
      </c>
      <c r="AR85" s="17" t="n">
        <f aca="false">AVERAGE(W85,X85,Z85,AB85)</f>
        <v>3</v>
      </c>
      <c r="AS85" s="17" t="n">
        <f aca="false">AVERAGE(AC85:AF85)</f>
        <v>4.25</v>
      </c>
      <c r="AT85" s="17" t="n">
        <f aca="false">AVERAGE(Y85,AA85,AG85:AM85)</f>
        <v>3.125</v>
      </c>
      <c r="AU85" s="18" t="n">
        <f aca="false">(AO85+AP85+AQ85+AR85+AS85+(6-AT85))/6</f>
        <v>3.72083333333333</v>
      </c>
      <c r="AV85" s="7" t="s">
        <v>1033</v>
      </c>
      <c r="AW85" s="7" t="s">
        <v>1030</v>
      </c>
      <c r="AX85" s="20" t="s">
        <v>1035</v>
      </c>
      <c r="AY85" s="8"/>
    </row>
    <row r="86" customFormat="false" ht="22.35" hidden="false" customHeight="false" outlineLevel="0" collapsed="false">
      <c r="A86" s="7" t="n">
        <v>365</v>
      </c>
      <c r="B86" s="8" t="s">
        <v>518</v>
      </c>
      <c r="C86" s="8" t="s">
        <v>570</v>
      </c>
      <c r="D86" s="8" t="s">
        <v>491</v>
      </c>
      <c r="E86" s="7" t="n">
        <v>1</v>
      </c>
      <c r="F86" s="7" t="n">
        <v>1</v>
      </c>
      <c r="G86" s="7" t="n">
        <v>1</v>
      </c>
      <c r="H86" s="7" t="n">
        <v>4</v>
      </c>
      <c r="I86" s="7" t="n">
        <v>2</v>
      </c>
      <c r="J86" s="7" t="n">
        <v>1</v>
      </c>
      <c r="K86" s="7" t="n">
        <v>4</v>
      </c>
      <c r="L86" s="7" t="n">
        <v>4</v>
      </c>
      <c r="M86" s="9"/>
      <c r="N86" s="7" t="n">
        <v>2</v>
      </c>
      <c r="O86" s="7" t="n">
        <v>4</v>
      </c>
      <c r="P86" s="7" t="n">
        <v>3</v>
      </c>
      <c r="Q86" s="7" t="n">
        <v>3</v>
      </c>
      <c r="R86" s="7" t="n">
        <v>3</v>
      </c>
      <c r="S86" s="7" t="n">
        <v>3</v>
      </c>
      <c r="T86" s="7" t="n">
        <v>3</v>
      </c>
      <c r="U86" s="7" t="n">
        <v>5</v>
      </c>
      <c r="V86" s="7" t="n">
        <v>4</v>
      </c>
      <c r="W86" s="19" t="n">
        <v>3</v>
      </c>
      <c r="X86" s="7" t="n">
        <v>3</v>
      </c>
      <c r="Y86" s="7" t="n">
        <v>3</v>
      </c>
      <c r="Z86" s="7" t="n">
        <v>4</v>
      </c>
      <c r="AA86" s="7" t="n">
        <v>2</v>
      </c>
      <c r="AB86" s="7" t="n">
        <v>3</v>
      </c>
      <c r="AC86" s="7" t="n">
        <v>3</v>
      </c>
      <c r="AD86" s="7" t="n">
        <v>3</v>
      </c>
      <c r="AE86" s="7" t="n">
        <v>3</v>
      </c>
      <c r="AF86" s="7" t="n">
        <v>4</v>
      </c>
      <c r="AG86" s="7" t="n">
        <v>3</v>
      </c>
      <c r="AH86" s="7" t="n">
        <v>3</v>
      </c>
      <c r="AI86" s="7" t="n">
        <v>3</v>
      </c>
      <c r="AJ86" s="9"/>
      <c r="AK86" s="7" t="n">
        <v>3</v>
      </c>
      <c r="AL86" s="7" t="n">
        <v>2</v>
      </c>
      <c r="AM86" s="7" t="n">
        <v>3</v>
      </c>
      <c r="AN86" s="7" t="n">
        <v>2</v>
      </c>
      <c r="AO86" s="16" t="n">
        <f aca="false">MAX(E86:K86)</f>
        <v>4</v>
      </c>
      <c r="AP86" s="17" t="n">
        <f aca="false">AVERAGE(N86:R86)</f>
        <v>3</v>
      </c>
      <c r="AQ86" s="17" t="n">
        <f aca="false">AVERAGE(S86:V86)</f>
        <v>3.75</v>
      </c>
      <c r="AR86" s="17" t="n">
        <f aca="false">AVERAGE(W86,X86,Z86,AB86)</f>
        <v>3.25</v>
      </c>
      <c r="AS86" s="17" t="n">
        <f aca="false">AVERAGE(AC86:AF86)</f>
        <v>3.25</v>
      </c>
      <c r="AT86" s="17" t="n">
        <f aca="false">AVERAGE(Y86,AA86,AG86:AM86)</f>
        <v>2.75</v>
      </c>
      <c r="AU86" s="18" t="n">
        <f aca="false">(AO86+AP86+AQ86+AR86+AS86+(6-AT86))/6</f>
        <v>3.41666666666667</v>
      </c>
      <c r="AV86" s="7" t="s">
        <v>1033</v>
      </c>
      <c r="AW86" s="7" t="s">
        <v>1030</v>
      </c>
      <c r="AX86" s="20" t="s">
        <v>1035</v>
      </c>
      <c r="AY86" s="8"/>
    </row>
    <row r="87" customFormat="false" ht="15" hidden="false" customHeight="false" outlineLevel="0" collapsed="false">
      <c r="A87" s="7" t="n">
        <v>366</v>
      </c>
      <c r="B87" s="8" t="s">
        <v>577</v>
      </c>
      <c r="C87" s="8" t="s">
        <v>578</v>
      </c>
      <c r="D87" s="8" t="s">
        <v>491</v>
      </c>
      <c r="E87" s="7" t="n">
        <v>1</v>
      </c>
      <c r="F87" s="7" t="n">
        <v>5</v>
      </c>
      <c r="G87" s="7" t="n">
        <v>1</v>
      </c>
      <c r="H87" s="7" t="n">
        <v>4</v>
      </c>
      <c r="I87" s="7" t="n">
        <v>2</v>
      </c>
      <c r="J87" s="7" t="n">
        <v>2</v>
      </c>
      <c r="K87" s="7" t="n">
        <v>1</v>
      </c>
      <c r="L87" s="7" t="n">
        <v>4</v>
      </c>
      <c r="M87" s="9"/>
      <c r="N87" s="7" t="n">
        <v>4</v>
      </c>
      <c r="O87" s="7" t="n">
        <v>3</v>
      </c>
      <c r="P87" s="7" t="n">
        <v>3</v>
      </c>
      <c r="Q87" s="7" t="n">
        <v>5</v>
      </c>
      <c r="R87" s="7" t="n">
        <v>3</v>
      </c>
      <c r="S87" s="7" t="n">
        <v>3</v>
      </c>
      <c r="T87" s="7" t="n">
        <v>3</v>
      </c>
      <c r="U87" s="7" t="n">
        <v>2</v>
      </c>
      <c r="V87" s="7" t="n">
        <v>5</v>
      </c>
      <c r="W87" s="19" t="n">
        <v>3</v>
      </c>
      <c r="X87" s="7" t="n">
        <v>4</v>
      </c>
      <c r="Y87" s="7" t="n">
        <v>4</v>
      </c>
      <c r="Z87" s="7" t="n">
        <v>3</v>
      </c>
      <c r="AA87" s="7" t="n">
        <v>2</v>
      </c>
      <c r="AB87" s="7" t="n">
        <v>3</v>
      </c>
      <c r="AC87" s="7" t="n">
        <v>5</v>
      </c>
      <c r="AD87" s="7" t="n">
        <v>4</v>
      </c>
      <c r="AE87" s="7" t="n">
        <v>3</v>
      </c>
      <c r="AF87" s="7" t="n">
        <v>4</v>
      </c>
      <c r="AG87" s="7" t="n">
        <v>3</v>
      </c>
      <c r="AH87" s="7" t="n">
        <v>3</v>
      </c>
      <c r="AI87" s="7" t="n">
        <v>3</v>
      </c>
      <c r="AJ87" s="9"/>
      <c r="AK87" s="7" t="n">
        <v>3</v>
      </c>
      <c r="AL87" s="7" t="n">
        <v>2</v>
      </c>
      <c r="AM87" s="7" t="n">
        <v>3</v>
      </c>
      <c r="AN87" s="7" t="n">
        <v>4</v>
      </c>
      <c r="AO87" s="16" t="n">
        <f aca="false">MAX(E87:K87)</f>
        <v>5</v>
      </c>
      <c r="AP87" s="17" t="n">
        <f aca="false">AVERAGE(N87:R87)</f>
        <v>3.6</v>
      </c>
      <c r="AQ87" s="17" t="n">
        <f aca="false">AVERAGE(S87:V87)</f>
        <v>3.25</v>
      </c>
      <c r="AR87" s="17" t="n">
        <f aca="false">AVERAGE(W87,X87,Z87,AB87)</f>
        <v>3.25</v>
      </c>
      <c r="AS87" s="17" t="n">
        <f aca="false">AVERAGE(AC87:AF87)</f>
        <v>4</v>
      </c>
      <c r="AT87" s="17" t="n">
        <f aca="false">AVERAGE(Y87,AA87,AG87:AM87)</f>
        <v>2.875</v>
      </c>
      <c r="AU87" s="18" t="n">
        <f aca="false">(AO87+AP87+AQ87+AR87+AS87+(6-AT87))/6</f>
        <v>3.70416666666667</v>
      </c>
      <c r="AV87" s="7" t="s">
        <v>1033</v>
      </c>
      <c r="AW87" s="7" t="s">
        <v>1030</v>
      </c>
      <c r="AX87" s="20" t="s">
        <v>1035</v>
      </c>
      <c r="AY87" s="8"/>
    </row>
  </sheetData>
  <autoFilter ref="A4:AY87"/>
  <mergeCells count="1">
    <mergeCell ref="A2:T2"/>
  </mergeCells>
  <conditionalFormatting sqref="E5:E87">
    <cfRule type="colorScale" priority="2">
      <colorScale>
        <cfvo type="num" val="1"/>
        <cfvo type="num" val="3"/>
        <cfvo type="num" val="5"/>
        <color rgb="FFF8CBAD"/>
        <color rgb="FFFFFFFF"/>
        <color rgb="FFC6E0B4"/>
      </colorScale>
    </cfRule>
  </conditionalFormatting>
  <conditionalFormatting sqref="F5:F87">
    <cfRule type="colorScale" priority="3">
      <colorScale>
        <cfvo type="num" val="1"/>
        <cfvo type="num" val="3"/>
        <cfvo type="num" val="5"/>
        <color rgb="FFF8CBAD"/>
        <color rgb="FFFFFFFF"/>
        <color rgb="FFC6E0B4"/>
      </colorScale>
    </cfRule>
  </conditionalFormatting>
  <conditionalFormatting sqref="G5:G87">
    <cfRule type="colorScale" priority="4">
      <colorScale>
        <cfvo type="num" val="1"/>
        <cfvo type="num" val="3"/>
        <cfvo type="num" val="5"/>
        <color rgb="FFF8CBAD"/>
        <color rgb="FFFFFFFF"/>
        <color rgb="FFC6E0B4"/>
      </colorScale>
    </cfRule>
  </conditionalFormatting>
  <conditionalFormatting sqref="H5:H87">
    <cfRule type="colorScale" priority="5">
      <colorScale>
        <cfvo type="num" val="1"/>
        <cfvo type="num" val="3"/>
        <cfvo type="num" val="5"/>
        <color rgb="FFF8CBAD"/>
        <color rgb="FFFFFFFF"/>
        <color rgb="FFC6E0B4"/>
      </colorScale>
    </cfRule>
  </conditionalFormatting>
  <conditionalFormatting sqref="I5:I87">
    <cfRule type="colorScale" priority="6">
      <colorScale>
        <cfvo type="num" val="1"/>
        <cfvo type="num" val="3"/>
        <cfvo type="num" val="5"/>
        <color rgb="FFF8CBAD"/>
        <color rgb="FFFFFFFF"/>
        <color rgb="FFC6E0B4"/>
      </colorScale>
    </cfRule>
  </conditionalFormatting>
  <conditionalFormatting sqref="J5:J87">
    <cfRule type="colorScale" priority="7">
      <colorScale>
        <cfvo type="num" val="1"/>
        <cfvo type="num" val="3"/>
        <cfvo type="num" val="5"/>
        <color rgb="FFF8CBAD"/>
        <color rgb="FFFFFFFF"/>
        <color rgb="FFC6E0B4"/>
      </colorScale>
    </cfRule>
  </conditionalFormatting>
  <conditionalFormatting sqref="K5:K87">
    <cfRule type="colorScale" priority="8">
      <colorScale>
        <cfvo type="num" val="1"/>
        <cfvo type="num" val="3"/>
        <cfvo type="num" val="5"/>
        <color rgb="FFF8CBAD"/>
        <color rgb="FFFFFFFF"/>
        <color rgb="FFC6E0B4"/>
      </colorScale>
    </cfRule>
  </conditionalFormatting>
  <conditionalFormatting sqref="L5:L87">
    <cfRule type="colorScale" priority="9">
      <colorScale>
        <cfvo type="num" val="1"/>
        <cfvo type="num" val="3"/>
        <cfvo type="num" val="5"/>
        <color rgb="FFF8CBAD"/>
        <color rgb="FFFFFFFF"/>
        <color rgb="FFC6E0B4"/>
      </colorScale>
    </cfRule>
  </conditionalFormatting>
  <conditionalFormatting sqref="M5:M87">
    <cfRule type="colorScale" priority="10">
      <colorScale>
        <cfvo type="num" val="1"/>
        <cfvo type="num" val="3"/>
        <cfvo type="num" val="5"/>
        <color rgb="FFF8CBAD"/>
        <color rgb="FFFFFFFF"/>
        <color rgb="FFC6E0B4"/>
      </colorScale>
    </cfRule>
  </conditionalFormatting>
  <conditionalFormatting sqref="N5:N87">
    <cfRule type="colorScale" priority="11">
      <colorScale>
        <cfvo type="num" val="1"/>
        <cfvo type="num" val="3"/>
        <cfvo type="num" val="5"/>
        <color rgb="FFF8CBAD"/>
        <color rgb="FFFFFFFF"/>
        <color rgb="FFC6E0B4"/>
      </colorScale>
    </cfRule>
  </conditionalFormatting>
  <conditionalFormatting sqref="O5:O87">
    <cfRule type="colorScale" priority="12">
      <colorScale>
        <cfvo type="num" val="1"/>
        <cfvo type="num" val="3"/>
        <cfvo type="num" val="5"/>
        <color rgb="FFF8CBAD"/>
        <color rgb="FFFFFFFF"/>
        <color rgb="FFC6E0B4"/>
      </colorScale>
    </cfRule>
  </conditionalFormatting>
  <conditionalFormatting sqref="P5:P87">
    <cfRule type="colorScale" priority="13">
      <colorScale>
        <cfvo type="num" val="1"/>
        <cfvo type="num" val="3"/>
        <cfvo type="num" val="5"/>
        <color rgb="FFF8CBAD"/>
        <color rgb="FFFFFFFF"/>
        <color rgb="FFC6E0B4"/>
      </colorScale>
    </cfRule>
  </conditionalFormatting>
  <conditionalFormatting sqref="Q5:Q87">
    <cfRule type="colorScale" priority="14">
      <colorScale>
        <cfvo type="num" val="1"/>
        <cfvo type="num" val="3"/>
        <cfvo type="num" val="5"/>
        <color rgb="FFF8CBAD"/>
        <color rgb="FFFFFFFF"/>
        <color rgb="FFC6E0B4"/>
      </colorScale>
    </cfRule>
  </conditionalFormatting>
  <conditionalFormatting sqref="R5:R87">
    <cfRule type="colorScale" priority="15">
      <colorScale>
        <cfvo type="num" val="1"/>
        <cfvo type="num" val="3"/>
        <cfvo type="num" val="5"/>
        <color rgb="FFF8CBAD"/>
        <color rgb="FFFFFFFF"/>
        <color rgb="FFC6E0B4"/>
      </colorScale>
    </cfRule>
  </conditionalFormatting>
  <conditionalFormatting sqref="S5:S87">
    <cfRule type="colorScale" priority="16">
      <colorScale>
        <cfvo type="num" val="1"/>
        <cfvo type="num" val="3"/>
        <cfvo type="num" val="5"/>
        <color rgb="FFF8CBAD"/>
        <color rgb="FFFFFFFF"/>
        <color rgb="FFC6E0B4"/>
      </colorScale>
    </cfRule>
  </conditionalFormatting>
  <conditionalFormatting sqref="T5:T87">
    <cfRule type="colorScale" priority="17">
      <colorScale>
        <cfvo type="num" val="1"/>
        <cfvo type="num" val="3"/>
        <cfvo type="num" val="5"/>
        <color rgb="FFF8CBAD"/>
        <color rgb="FFFFFFFF"/>
        <color rgb="FFC6E0B4"/>
      </colorScale>
    </cfRule>
  </conditionalFormatting>
  <conditionalFormatting sqref="U5:U87">
    <cfRule type="colorScale" priority="18">
      <colorScale>
        <cfvo type="num" val="1"/>
        <cfvo type="num" val="3"/>
        <cfvo type="num" val="5"/>
        <color rgb="FFF8CBAD"/>
        <color rgb="FFFFFFFF"/>
        <color rgb="FFC6E0B4"/>
      </colorScale>
    </cfRule>
  </conditionalFormatting>
  <conditionalFormatting sqref="V5:V87">
    <cfRule type="colorScale" priority="19">
      <colorScale>
        <cfvo type="num" val="1"/>
        <cfvo type="num" val="3"/>
        <cfvo type="num" val="5"/>
        <color rgb="FFF8CBAD"/>
        <color rgb="FFFFFFFF"/>
        <color rgb="FFC6E0B4"/>
      </colorScale>
    </cfRule>
  </conditionalFormatting>
  <conditionalFormatting sqref="W5:W87">
    <cfRule type="colorScale" priority="20">
      <colorScale>
        <cfvo type="num" val="1"/>
        <cfvo type="num" val="3"/>
        <cfvo type="num" val="5"/>
        <color rgb="FFF8CBAD"/>
        <color rgb="FFFFFFFF"/>
        <color rgb="FFC6E0B4"/>
      </colorScale>
    </cfRule>
  </conditionalFormatting>
  <conditionalFormatting sqref="X5:X87">
    <cfRule type="colorScale" priority="21">
      <colorScale>
        <cfvo type="num" val="1"/>
        <cfvo type="num" val="3"/>
        <cfvo type="num" val="5"/>
        <color rgb="FFF8CBAD"/>
        <color rgb="FFFFFFFF"/>
        <color rgb="FFC6E0B4"/>
      </colorScale>
    </cfRule>
  </conditionalFormatting>
  <conditionalFormatting sqref="Y5:Y87">
    <cfRule type="colorScale" priority="22">
      <colorScale>
        <cfvo type="num" val="1"/>
        <cfvo type="num" val="3"/>
        <cfvo type="num" val="5"/>
        <color rgb="FFC6E0B4"/>
        <color rgb="FFFFFFFF"/>
        <color rgb="FFF8CBAD"/>
      </colorScale>
    </cfRule>
  </conditionalFormatting>
  <conditionalFormatting sqref="Z5:Z87">
    <cfRule type="colorScale" priority="23">
      <colorScale>
        <cfvo type="num" val="1"/>
        <cfvo type="num" val="3"/>
        <cfvo type="num" val="5"/>
        <color rgb="FFF8CBAD"/>
        <color rgb="FFFFFFFF"/>
        <color rgb="FFC6E0B4"/>
      </colorScale>
    </cfRule>
  </conditionalFormatting>
  <conditionalFormatting sqref="AA5:AA87">
    <cfRule type="colorScale" priority="24">
      <colorScale>
        <cfvo type="num" val="1"/>
        <cfvo type="num" val="3"/>
        <cfvo type="num" val="5"/>
        <color rgb="FFC6E0B4"/>
        <color rgb="FFFFFFFF"/>
        <color rgb="FFF8CBAD"/>
      </colorScale>
    </cfRule>
  </conditionalFormatting>
  <conditionalFormatting sqref="AB5:AB87">
    <cfRule type="colorScale" priority="25">
      <colorScale>
        <cfvo type="num" val="1"/>
        <cfvo type="num" val="3"/>
        <cfvo type="num" val="5"/>
        <color rgb="FFF8CBAD"/>
        <color rgb="FFFFFFFF"/>
        <color rgb="FFC6E0B4"/>
      </colorScale>
    </cfRule>
  </conditionalFormatting>
  <conditionalFormatting sqref="AC5:AC87">
    <cfRule type="colorScale" priority="26">
      <colorScale>
        <cfvo type="num" val="1"/>
        <cfvo type="num" val="3"/>
        <cfvo type="num" val="5"/>
        <color rgb="FFF8CBAD"/>
        <color rgb="FFFFFFFF"/>
        <color rgb="FFC6E0B4"/>
      </colorScale>
    </cfRule>
  </conditionalFormatting>
  <conditionalFormatting sqref="AD5:AD87">
    <cfRule type="colorScale" priority="27">
      <colorScale>
        <cfvo type="num" val="1"/>
        <cfvo type="num" val="3"/>
        <cfvo type="num" val="5"/>
        <color rgb="FFF8CBAD"/>
        <color rgb="FFFFFFFF"/>
        <color rgb="FFC6E0B4"/>
      </colorScale>
    </cfRule>
  </conditionalFormatting>
  <conditionalFormatting sqref="AE5:AE87">
    <cfRule type="colorScale" priority="28">
      <colorScale>
        <cfvo type="num" val="1"/>
        <cfvo type="num" val="3"/>
        <cfvo type="num" val="5"/>
        <color rgb="FFF8CBAD"/>
        <color rgb="FFFFFFFF"/>
        <color rgb="FFC6E0B4"/>
      </colorScale>
    </cfRule>
  </conditionalFormatting>
  <conditionalFormatting sqref="AF5:AF87">
    <cfRule type="colorScale" priority="29">
      <colorScale>
        <cfvo type="num" val="1"/>
        <cfvo type="num" val="3"/>
        <cfvo type="num" val="5"/>
        <color rgb="FFF8CBAD"/>
        <color rgb="FFFFFFFF"/>
        <color rgb="FFC6E0B4"/>
      </colorScale>
    </cfRule>
  </conditionalFormatting>
  <conditionalFormatting sqref="AG5:AG87">
    <cfRule type="colorScale" priority="30">
      <colorScale>
        <cfvo type="num" val="1"/>
        <cfvo type="num" val="3"/>
        <cfvo type="num" val="5"/>
        <color rgb="FFC6E0B4"/>
        <color rgb="FFFFFFFF"/>
        <color rgb="FFF8CBAD"/>
      </colorScale>
    </cfRule>
  </conditionalFormatting>
  <conditionalFormatting sqref="AH5:AH87">
    <cfRule type="colorScale" priority="31">
      <colorScale>
        <cfvo type="num" val="1"/>
        <cfvo type="num" val="3"/>
        <cfvo type="num" val="5"/>
        <color rgb="FFC6E0B4"/>
        <color rgb="FFFFFFFF"/>
        <color rgb="FFF8CBAD"/>
      </colorScale>
    </cfRule>
  </conditionalFormatting>
  <conditionalFormatting sqref="AI5:AI87">
    <cfRule type="colorScale" priority="32">
      <colorScale>
        <cfvo type="num" val="1"/>
        <cfvo type="num" val="3"/>
        <cfvo type="num" val="5"/>
        <color rgb="FFC6E0B4"/>
        <color rgb="FFFFFFFF"/>
        <color rgb="FFF8CBAD"/>
      </colorScale>
    </cfRule>
  </conditionalFormatting>
  <conditionalFormatting sqref="AJ5:AJ87">
    <cfRule type="colorScale" priority="33">
      <colorScale>
        <cfvo type="num" val="1"/>
        <cfvo type="num" val="3"/>
        <cfvo type="num" val="5"/>
        <color rgb="FFC6E0B4"/>
        <color rgb="FFFFFFFF"/>
        <color rgb="FFF8CBAD"/>
      </colorScale>
    </cfRule>
  </conditionalFormatting>
  <conditionalFormatting sqref="AK5:AK87">
    <cfRule type="colorScale" priority="34">
      <colorScale>
        <cfvo type="num" val="1"/>
        <cfvo type="num" val="3"/>
        <cfvo type="num" val="5"/>
        <color rgb="FFC6E0B4"/>
        <color rgb="FFFFFFFF"/>
        <color rgb="FFF8CBAD"/>
      </colorScale>
    </cfRule>
  </conditionalFormatting>
  <conditionalFormatting sqref="AL5:AL87">
    <cfRule type="colorScale" priority="35">
      <colorScale>
        <cfvo type="num" val="1"/>
        <cfvo type="num" val="3"/>
        <cfvo type="num" val="5"/>
        <color rgb="FFC6E0B4"/>
        <color rgb="FFFFFFFF"/>
        <color rgb="FFF8CBAD"/>
      </colorScale>
    </cfRule>
  </conditionalFormatting>
  <conditionalFormatting sqref="AM5:AM87">
    <cfRule type="colorScale" priority="36">
      <colorScale>
        <cfvo type="num" val="1"/>
        <cfvo type="num" val="3"/>
        <cfvo type="num" val="5"/>
        <color rgb="FFC6E0B4"/>
        <color rgb="FFFFFFFF"/>
        <color rgb="FFF8CBAD"/>
      </colorScale>
    </cfRule>
  </conditionalFormatting>
  <conditionalFormatting sqref="AN5:AN87">
    <cfRule type="colorScale" priority="37">
      <colorScale>
        <cfvo type="num" val="1"/>
        <cfvo type="num" val="3"/>
        <cfvo type="num" val="5"/>
        <color rgb="FFC6E0B4"/>
        <color rgb="FFFFFFFF"/>
        <color rgb="FFF8CBAD"/>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22"/>
    <col collapsed="false" customWidth="true" hidden="false" outlineLevel="0" max="4" min="4" style="0" width="6"/>
    <col collapsed="false" customWidth="true" hidden="false" outlineLevel="0" max="5" min="5" style="0" width="7"/>
    <col collapsed="false" customWidth="true" hidden="false" outlineLevel="0" max="6" min="6" style="0" width="22"/>
    <col collapsed="false" customWidth="true" hidden="false" outlineLevel="0" max="7" min="7" style="0" width="44"/>
    <col collapsed="false" customWidth="true" hidden="false" outlineLevel="0" max="8" min="8" style="0" width="6"/>
    <col collapsed="false" customWidth="true" hidden="false" outlineLevel="0" max="9" min="9" style="0" width="7"/>
    <col collapsed="false" customWidth="true" hidden="false" outlineLevel="0" max="11" min="10" style="0" width="6"/>
    <col collapsed="false" customWidth="true" hidden="false" outlineLevel="0" max="12" min="12" style="0" width="12"/>
    <col collapsed="false" customWidth="true" hidden="false" outlineLevel="0" max="14" min="13" style="0" width="7"/>
    <col collapsed="false" customWidth="true" hidden="false" outlineLevel="0" max="15" min="15" style="0" width="10"/>
    <col collapsed="false" customWidth="true" hidden="false" outlineLevel="0" max="16" min="16" style="0" width="62"/>
    <col collapsed="false" customWidth="true" hidden="false" outlineLevel="0" max="17" min="17" style="0" width="52"/>
    <col collapsed="false" customWidth="true" hidden="false" outlineLevel="0" max="18" min="18" style="0" width="18"/>
    <col collapsed="false" customWidth="true" hidden="false" outlineLevel="0" max="19" min="19" style="0" width="13"/>
  </cols>
  <sheetData>
    <row r="1" customFormat="false" ht="17.35" hidden="false" customHeight="false" outlineLevel="0" collapsed="false">
      <c r="A1" s="4" t="s">
        <v>1057</v>
      </c>
    </row>
    <row r="2" customFormat="false" ht="39.75" hidden="false" customHeight="true" outlineLevel="0" collapsed="false">
      <c r="A2" s="13" t="s">
        <v>1058</v>
      </c>
      <c r="B2" s="13"/>
      <c r="C2" s="13"/>
      <c r="D2" s="13"/>
      <c r="E2" s="13"/>
      <c r="F2" s="13"/>
      <c r="G2" s="13"/>
      <c r="H2" s="13"/>
      <c r="I2" s="13"/>
      <c r="J2" s="13"/>
      <c r="K2" s="13"/>
      <c r="L2" s="13"/>
      <c r="M2" s="13"/>
      <c r="N2" s="13"/>
    </row>
    <row r="4" customFormat="false" ht="33.75" hidden="false" customHeight="true" outlineLevel="0" collapsed="false">
      <c r="A4" s="6" t="s">
        <v>1059</v>
      </c>
      <c r="B4" s="6" t="s">
        <v>34</v>
      </c>
      <c r="C4" s="6" t="s">
        <v>1060</v>
      </c>
      <c r="D4" s="6" t="s">
        <v>1061</v>
      </c>
      <c r="E4" s="6" t="s">
        <v>1062</v>
      </c>
      <c r="F4" s="6" t="s">
        <v>283</v>
      </c>
      <c r="G4" s="6" t="s">
        <v>284</v>
      </c>
      <c r="H4" s="6" t="s">
        <v>1063</v>
      </c>
      <c r="I4" s="6" t="s">
        <v>1064</v>
      </c>
      <c r="J4" s="6" t="s">
        <v>1065</v>
      </c>
      <c r="K4" s="6" t="s">
        <v>1066</v>
      </c>
      <c r="L4" s="6" t="s">
        <v>1067</v>
      </c>
      <c r="M4" s="6" t="s">
        <v>1068</v>
      </c>
      <c r="N4" s="6" t="s">
        <v>1069</v>
      </c>
      <c r="O4" s="6" t="s">
        <v>1070</v>
      </c>
      <c r="P4" s="6" t="s">
        <v>1071</v>
      </c>
      <c r="Q4" s="6" t="s">
        <v>659</v>
      </c>
      <c r="R4" s="6" t="s">
        <v>1072</v>
      </c>
      <c r="S4" s="6" t="s">
        <v>301</v>
      </c>
    </row>
    <row r="5" customFormat="false" ht="32.8" hidden="false" customHeight="false" outlineLevel="0" collapsed="false">
      <c r="A5" s="21" t="s">
        <v>1073</v>
      </c>
      <c r="B5" s="21" t="s">
        <v>1074</v>
      </c>
      <c r="C5" s="22" t="s">
        <v>1075</v>
      </c>
      <c r="D5" s="7" t="n">
        <v>1</v>
      </c>
      <c r="E5" s="7" t="n">
        <v>285</v>
      </c>
      <c r="F5" s="8" t="s">
        <v>318</v>
      </c>
      <c r="G5" s="8" t="s">
        <v>319</v>
      </c>
      <c r="H5" s="16" t="n">
        <f aca="false">INDEX(Scoring!$AO$5:$AO$87,MATCH($E5,Scoring!$A$5:$A$87,0))</f>
        <v>5</v>
      </c>
      <c r="I5" s="17" t="n">
        <f aca="false">INDEX(Scoring!$AP$5:$AP$87,MATCH($E5,Scoring!$A$5:$A$87,0))</f>
        <v>4</v>
      </c>
      <c r="J5" s="17" t="n">
        <f aca="false">INDEX(Scoring!$AQ$5:$AQ$87,MATCH($E5,Scoring!$A$5:$A$87,0))</f>
        <v>4.5</v>
      </c>
      <c r="K5" s="17" t="n">
        <f aca="false">INDEX(Scoring!$AR$5:$AR$87,MATCH($E5,Scoring!$A$5:$A$87,0))</f>
        <v>3.75</v>
      </c>
      <c r="L5" s="17" t="n">
        <f aca="false">INDEX(Scoring!$AS$5:$AS$87,MATCH($E5,Scoring!$A$5:$A$87,0))</f>
        <v>3</v>
      </c>
      <c r="M5" s="17" t="n">
        <f aca="false">INDEX(Scoring!$AT$5:$AT$87,MATCH($E5,Scoring!$A$5:$A$87,0))</f>
        <v>3.125</v>
      </c>
      <c r="N5" s="18" t="n">
        <f aca="false">INDEX(Scoring!$AU$5:$AU$87,MATCH($E5,Scoring!$A$5:$A$87,0))</f>
        <v>3.85416666666667</v>
      </c>
      <c r="O5" s="7" t="n">
        <f aca="false">INDEX(Scoring!$AN$5:$AN$87,MATCH($E5,Scoring!$A$5:$A$87,0))</f>
        <v>5</v>
      </c>
      <c r="P5" s="8" t="s">
        <v>1076</v>
      </c>
      <c r="Q5" s="8" t="s">
        <v>1077</v>
      </c>
      <c r="R5" s="8" t="s">
        <v>1078</v>
      </c>
      <c r="S5" s="23" t="s">
        <v>317</v>
      </c>
    </row>
    <row r="6" customFormat="false" ht="43.25" hidden="false" customHeight="false" outlineLevel="0" collapsed="false">
      <c r="A6" s="21" t="s">
        <v>1073</v>
      </c>
      <c r="B6" s="21" t="s">
        <v>1074</v>
      </c>
      <c r="C6" s="22" t="s">
        <v>1075</v>
      </c>
      <c r="D6" s="7" t="n">
        <v>2</v>
      </c>
      <c r="E6" s="7" t="n">
        <v>282</v>
      </c>
      <c r="F6" s="8" t="s">
        <v>302</v>
      </c>
      <c r="G6" s="8" t="s">
        <v>490</v>
      </c>
      <c r="H6" s="16" t="n">
        <f aca="false">INDEX(Scoring!$AO$5:$AO$87,MATCH($E6,Scoring!$A$5:$A$87,0))</f>
        <v>5</v>
      </c>
      <c r="I6" s="17" t="n">
        <f aca="false">INDEX(Scoring!$AP$5:$AP$87,MATCH($E6,Scoring!$A$5:$A$87,0))</f>
        <v>3.6</v>
      </c>
      <c r="J6" s="17" t="n">
        <f aca="false">INDEX(Scoring!$AQ$5:$AQ$87,MATCH($E6,Scoring!$A$5:$A$87,0))</f>
        <v>3.5</v>
      </c>
      <c r="K6" s="17" t="n">
        <f aca="false">INDEX(Scoring!$AR$5:$AR$87,MATCH($E6,Scoring!$A$5:$A$87,0))</f>
        <v>3.75</v>
      </c>
      <c r="L6" s="17" t="n">
        <f aca="false">INDEX(Scoring!$AS$5:$AS$87,MATCH($E6,Scoring!$A$5:$A$87,0))</f>
        <v>3.5</v>
      </c>
      <c r="M6" s="17" t="n">
        <f aca="false">INDEX(Scoring!$AT$5:$AT$87,MATCH($E6,Scoring!$A$5:$A$87,0))</f>
        <v>2.25</v>
      </c>
      <c r="N6" s="18" t="n">
        <f aca="false">INDEX(Scoring!$AU$5:$AU$87,MATCH($E6,Scoring!$A$5:$A$87,0))</f>
        <v>3.85</v>
      </c>
      <c r="O6" s="7" t="n">
        <f aca="false">INDEX(Scoring!$AN$5:$AN$87,MATCH($E6,Scoring!$A$5:$A$87,0))</f>
        <v>3</v>
      </c>
      <c r="P6" s="8" t="s">
        <v>1079</v>
      </c>
      <c r="Q6" s="8" t="s">
        <v>1080</v>
      </c>
      <c r="R6" s="8" t="s">
        <v>1081</v>
      </c>
      <c r="S6" s="23" t="s">
        <v>317</v>
      </c>
    </row>
    <row r="7" customFormat="false" ht="53.7" hidden="false" customHeight="false" outlineLevel="0" collapsed="false">
      <c r="A7" s="21" t="s">
        <v>1073</v>
      </c>
      <c r="B7" s="21" t="s">
        <v>1074</v>
      </c>
      <c r="C7" s="22" t="s">
        <v>1075</v>
      </c>
      <c r="D7" s="7" t="n">
        <v>3</v>
      </c>
      <c r="E7" s="7" t="n">
        <v>342</v>
      </c>
      <c r="F7" s="8" t="s">
        <v>426</v>
      </c>
      <c r="G7" s="8" t="s">
        <v>443</v>
      </c>
      <c r="H7" s="16" t="n">
        <f aca="false">INDEX(Scoring!$AO$5:$AO$87,MATCH($E7,Scoring!$A$5:$A$87,0))</f>
        <v>4</v>
      </c>
      <c r="I7" s="17" t="n">
        <f aca="false">INDEX(Scoring!$AP$5:$AP$87,MATCH($E7,Scoring!$A$5:$A$87,0))</f>
        <v>4.2</v>
      </c>
      <c r="J7" s="17" t="n">
        <f aca="false">INDEX(Scoring!$AQ$5:$AQ$87,MATCH($E7,Scoring!$A$5:$A$87,0))</f>
        <v>3.5</v>
      </c>
      <c r="K7" s="17" t="n">
        <f aca="false">INDEX(Scoring!$AR$5:$AR$87,MATCH($E7,Scoring!$A$5:$A$87,0))</f>
        <v>3.75</v>
      </c>
      <c r="L7" s="17" t="n">
        <f aca="false">INDEX(Scoring!$AS$5:$AS$87,MATCH($E7,Scoring!$A$5:$A$87,0))</f>
        <v>4.25</v>
      </c>
      <c r="M7" s="17" t="n">
        <f aca="false">INDEX(Scoring!$AT$5:$AT$87,MATCH($E7,Scoring!$A$5:$A$87,0))</f>
        <v>3.125</v>
      </c>
      <c r="N7" s="18" t="n">
        <f aca="false">INDEX(Scoring!$AU$5:$AU$87,MATCH($E7,Scoring!$A$5:$A$87,0))</f>
        <v>3.7625</v>
      </c>
      <c r="O7" s="7" t="n">
        <f aca="false">INDEX(Scoring!$AN$5:$AN$87,MATCH($E7,Scoring!$A$5:$A$87,0))</f>
        <v>4</v>
      </c>
      <c r="P7" s="8" t="s">
        <v>1082</v>
      </c>
      <c r="Q7" s="8" t="s">
        <v>1083</v>
      </c>
      <c r="R7" s="8" t="s">
        <v>1084</v>
      </c>
      <c r="S7" s="23" t="s">
        <v>317</v>
      </c>
    </row>
    <row r="8" customFormat="false" ht="32.8" hidden="false" customHeight="false" outlineLevel="0" collapsed="false">
      <c r="A8" s="21" t="s">
        <v>1073</v>
      </c>
      <c r="B8" s="21" t="s">
        <v>1074</v>
      </c>
      <c r="C8" s="22" t="s">
        <v>1075</v>
      </c>
      <c r="D8" s="7" t="n">
        <v>4</v>
      </c>
      <c r="E8" s="7" t="n">
        <v>366</v>
      </c>
      <c r="F8" s="8" t="s">
        <v>577</v>
      </c>
      <c r="G8" s="8" t="s">
        <v>578</v>
      </c>
      <c r="H8" s="16" t="n">
        <f aca="false">INDEX(Scoring!$AO$5:$AO$87,MATCH($E8,Scoring!$A$5:$A$87,0))</f>
        <v>5</v>
      </c>
      <c r="I8" s="17" t="n">
        <f aca="false">INDEX(Scoring!$AP$5:$AP$87,MATCH($E8,Scoring!$A$5:$A$87,0))</f>
        <v>3.6</v>
      </c>
      <c r="J8" s="17" t="n">
        <f aca="false">INDEX(Scoring!$AQ$5:$AQ$87,MATCH($E8,Scoring!$A$5:$A$87,0))</f>
        <v>3.25</v>
      </c>
      <c r="K8" s="17" t="n">
        <f aca="false">INDEX(Scoring!$AR$5:$AR$87,MATCH($E8,Scoring!$A$5:$A$87,0))</f>
        <v>3.25</v>
      </c>
      <c r="L8" s="17" t="n">
        <f aca="false">INDEX(Scoring!$AS$5:$AS$87,MATCH($E8,Scoring!$A$5:$A$87,0))</f>
        <v>4</v>
      </c>
      <c r="M8" s="17" t="n">
        <f aca="false">INDEX(Scoring!$AT$5:$AT$87,MATCH($E8,Scoring!$A$5:$A$87,0))</f>
        <v>2.875</v>
      </c>
      <c r="N8" s="18" t="n">
        <f aca="false">INDEX(Scoring!$AU$5:$AU$87,MATCH($E8,Scoring!$A$5:$A$87,0))</f>
        <v>3.70416666666667</v>
      </c>
      <c r="O8" s="7" t="n">
        <f aca="false">INDEX(Scoring!$AN$5:$AN$87,MATCH($E8,Scoring!$A$5:$A$87,0))</f>
        <v>4</v>
      </c>
      <c r="P8" s="8" t="s">
        <v>1085</v>
      </c>
      <c r="Q8" s="8" t="s">
        <v>1086</v>
      </c>
      <c r="R8" s="8" t="s">
        <v>1081</v>
      </c>
      <c r="S8" s="23" t="s">
        <v>317</v>
      </c>
    </row>
    <row r="9" customFormat="false" ht="43.25" hidden="false" customHeight="false" outlineLevel="0" collapsed="false">
      <c r="A9" s="21" t="s">
        <v>1073</v>
      </c>
      <c r="B9" s="21" t="s">
        <v>1074</v>
      </c>
      <c r="C9" s="22" t="s">
        <v>1075</v>
      </c>
      <c r="D9" s="7" t="n">
        <v>5</v>
      </c>
      <c r="E9" s="7" t="n">
        <v>324</v>
      </c>
      <c r="F9" s="8" t="s">
        <v>508</v>
      </c>
      <c r="G9" s="8" t="s">
        <v>509</v>
      </c>
      <c r="H9" s="16" t="n">
        <f aca="false">INDEX(Scoring!$AO$5:$AO$87,MATCH($E9,Scoring!$A$5:$A$87,0))</f>
        <v>4</v>
      </c>
      <c r="I9" s="17" t="n">
        <f aca="false">INDEX(Scoring!$AP$5:$AP$87,MATCH($E9,Scoring!$A$5:$A$87,0))</f>
        <v>3.8</v>
      </c>
      <c r="J9" s="17" t="n">
        <f aca="false">INDEX(Scoring!$AQ$5:$AQ$87,MATCH($E9,Scoring!$A$5:$A$87,0))</f>
        <v>3.75</v>
      </c>
      <c r="K9" s="17" t="n">
        <f aca="false">INDEX(Scoring!$AR$5:$AR$87,MATCH($E9,Scoring!$A$5:$A$87,0))</f>
        <v>3.5</v>
      </c>
      <c r="L9" s="17" t="n">
        <f aca="false">INDEX(Scoring!$AS$5:$AS$87,MATCH($E9,Scoring!$A$5:$A$87,0))</f>
        <v>3.75</v>
      </c>
      <c r="M9" s="17" t="n">
        <f aca="false">INDEX(Scoring!$AT$5:$AT$87,MATCH($E9,Scoring!$A$5:$A$87,0))</f>
        <v>3</v>
      </c>
      <c r="N9" s="18" t="n">
        <f aca="false">INDEX(Scoring!$AU$5:$AU$87,MATCH($E9,Scoring!$A$5:$A$87,0))</f>
        <v>3.63333333333333</v>
      </c>
      <c r="O9" s="7" t="n">
        <f aca="false">INDEX(Scoring!$AN$5:$AN$87,MATCH($E9,Scoring!$A$5:$A$87,0))</f>
        <v>3</v>
      </c>
      <c r="P9" s="8" t="s">
        <v>1087</v>
      </c>
      <c r="Q9" s="8" t="s">
        <v>1088</v>
      </c>
      <c r="R9" s="8" t="s">
        <v>1078</v>
      </c>
      <c r="S9" s="23" t="s">
        <v>317</v>
      </c>
    </row>
    <row r="10" customFormat="false" ht="32.8" hidden="false" customHeight="false" outlineLevel="0" collapsed="false">
      <c r="A10" s="21" t="s">
        <v>1073</v>
      </c>
      <c r="B10" s="21" t="s">
        <v>1074</v>
      </c>
      <c r="C10" s="22" t="s">
        <v>1075</v>
      </c>
      <c r="D10" s="7" t="n">
        <v>6</v>
      </c>
      <c r="E10" s="7" t="n">
        <v>361</v>
      </c>
      <c r="F10" s="8" t="s">
        <v>302</v>
      </c>
      <c r="G10" s="8" t="s">
        <v>556</v>
      </c>
      <c r="H10" s="16" t="n">
        <f aca="false">INDEX(Scoring!$AO$5:$AO$87,MATCH($E10,Scoring!$A$5:$A$87,0))</f>
        <v>4</v>
      </c>
      <c r="I10" s="17" t="n">
        <f aca="false">INDEX(Scoring!$AP$5:$AP$87,MATCH($E10,Scoring!$A$5:$A$87,0))</f>
        <v>3.4</v>
      </c>
      <c r="J10" s="17" t="n">
        <f aca="false">INDEX(Scoring!$AQ$5:$AQ$87,MATCH($E10,Scoring!$A$5:$A$87,0))</f>
        <v>3.5</v>
      </c>
      <c r="K10" s="17" t="n">
        <f aca="false">INDEX(Scoring!$AR$5:$AR$87,MATCH($E10,Scoring!$A$5:$A$87,0))</f>
        <v>3.5</v>
      </c>
      <c r="L10" s="17" t="n">
        <f aca="false">INDEX(Scoring!$AS$5:$AS$87,MATCH($E10,Scoring!$A$5:$A$87,0))</f>
        <v>3.5</v>
      </c>
      <c r="M10" s="17" t="n">
        <f aca="false">INDEX(Scoring!$AT$5:$AT$87,MATCH($E10,Scoring!$A$5:$A$87,0))</f>
        <v>2.375</v>
      </c>
      <c r="N10" s="18" t="n">
        <f aca="false">INDEX(Scoring!$AU$5:$AU$87,MATCH($E10,Scoring!$A$5:$A$87,0))</f>
        <v>3.5875</v>
      </c>
      <c r="O10" s="7" t="n">
        <f aca="false">INDEX(Scoring!$AN$5:$AN$87,MATCH($E10,Scoring!$A$5:$A$87,0))</f>
        <v>3</v>
      </c>
      <c r="P10" s="8" t="s">
        <v>1089</v>
      </c>
      <c r="Q10" s="8" t="s">
        <v>1090</v>
      </c>
      <c r="R10" s="8" t="s">
        <v>1078</v>
      </c>
      <c r="S10" s="23" t="s">
        <v>317</v>
      </c>
    </row>
    <row r="11" customFormat="false" ht="43.25" hidden="false" customHeight="false" outlineLevel="0" collapsed="false">
      <c r="A11" s="21" t="s">
        <v>1073</v>
      </c>
      <c r="B11" s="21" t="s">
        <v>1074</v>
      </c>
      <c r="C11" s="22" t="s">
        <v>1075</v>
      </c>
      <c r="D11" s="7" t="n">
        <v>7</v>
      </c>
      <c r="E11" s="7" t="n">
        <v>332</v>
      </c>
      <c r="F11" s="8" t="s">
        <v>518</v>
      </c>
      <c r="G11" s="8" t="s">
        <v>519</v>
      </c>
      <c r="H11" s="16" t="n">
        <f aca="false">INDEX(Scoring!$AO$5:$AO$87,MATCH($E11,Scoring!$A$5:$A$87,0))</f>
        <v>4</v>
      </c>
      <c r="I11" s="17" t="n">
        <f aca="false">INDEX(Scoring!$AP$5:$AP$87,MATCH($E11,Scoring!$A$5:$A$87,0))</f>
        <v>3.4</v>
      </c>
      <c r="J11" s="17" t="n">
        <f aca="false">INDEX(Scoring!$AQ$5:$AQ$87,MATCH($E11,Scoring!$A$5:$A$87,0))</f>
        <v>3.75</v>
      </c>
      <c r="K11" s="17" t="n">
        <f aca="false">INDEX(Scoring!$AR$5:$AR$87,MATCH($E11,Scoring!$A$5:$A$87,0))</f>
        <v>3.5</v>
      </c>
      <c r="L11" s="17" t="n">
        <f aca="false">INDEX(Scoring!$AS$5:$AS$87,MATCH($E11,Scoring!$A$5:$A$87,0))</f>
        <v>3.5</v>
      </c>
      <c r="M11" s="17" t="n">
        <f aca="false">INDEX(Scoring!$AT$5:$AT$87,MATCH($E11,Scoring!$A$5:$A$87,0))</f>
        <v>2.75</v>
      </c>
      <c r="N11" s="18" t="n">
        <f aca="false">INDEX(Scoring!$AU$5:$AU$87,MATCH($E11,Scoring!$A$5:$A$87,0))</f>
        <v>3.56666666666667</v>
      </c>
      <c r="O11" s="7" t="n">
        <f aca="false">INDEX(Scoring!$AN$5:$AN$87,MATCH($E11,Scoring!$A$5:$A$87,0))</f>
        <v>2</v>
      </c>
      <c r="P11" s="8" t="s">
        <v>1091</v>
      </c>
      <c r="Q11" s="8" t="s">
        <v>1092</v>
      </c>
      <c r="R11" s="8" t="s">
        <v>1081</v>
      </c>
      <c r="S11" s="23" t="s">
        <v>317</v>
      </c>
    </row>
    <row r="12" customFormat="false" ht="43.25" hidden="false" customHeight="false" outlineLevel="0" collapsed="false">
      <c r="A12" s="21" t="s">
        <v>1073</v>
      </c>
      <c r="B12" s="21" t="s">
        <v>1093</v>
      </c>
      <c r="C12" s="22" t="s">
        <v>1094</v>
      </c>
      <c r="D12" s="7" t="n">
        <v>1</v>
      </c>
      <c r="E12" s="7" t="n">
        <v>364</v>
      </c>
      <c r="F12" s="8" t="s">
        <v>518</v>
      </c>
      <c r="G12" s="8" t="s">
        <v>563</v>
      </c>
      <c r="H12" s="16" t="n">
        <f aca="false">INDEX(Scoring!$AO$5:$AO$87,MATCH($E12,Scoring!$A$5:$A$87,0))</f>
        <v>5</v>
      </c>
      <c r="I12" s="17" t="n">
        <f aca="false">INDEX(Scoring!$AP$5:$AP$87,MATCH($E12,Scoring!$A$5:$A$87,0))</f>
        <v>3.2</v>
      </c>
      <c r="J12" s="17" t="n">
        <f aca="false">INDEX(Scoring!$AQ$5:$AQ$87,MATCH($E12,Scoring!$A$5:$A$87,0))</f>
        <v>4</v>
      </c>
      <c r="K12" s="17" t="n">
        <f aca="false">INDEX(Scoring!$AR$5:$AR$87,MATCH($E12,Scoring!$A$5:$A$87,0))</f>
        <v>3</v>
      </c>
      <c r="L12" s="17" t="n">
        <f aca="false">INDEX(Scoring!$AS$5:$AS$87,MATCH($E12,Scoring!$A$5:$A$87,0))</f>
        <v>4.25</v>
      </c>
      <c r="M12" s="17" t="n">
        <f aca="false">INDEX(Scoring!$AT$5:$AT$87,MATCH($E12,Scoring!$A$5:$A$87,0))</f>
        <v>3.125</v>
      </c>
      <c r="N12" s="18" t="n">
        <f aca="false">INDEX(Scoring!$AU$5:$AU$87,MATCH($E12,Scoring!$A$5:$A$87,0))</f>
        <v>3.72083333333333</v>
      </c>
      <c r="O12" s="7" t="n">
        <f aca="false">INDEX(Scoring!$AN$5:$AN$87,MATCH($E12,Scoring!$A$5:$A$87,0))</f>
        <v>2</v>
      </c>
      <c r="P12" s="8" t="s">
        <v>1095</v>
      </c>
      <c r="Q12" s="8" t="s">
        <v>1096</v>
      </c>
      <c r="R12" s="8" t="s">
        <v>1081</v>
      </c>
      <c r="S12" s="23" t="s">
        <v>317</v>
      </c>
    </row>
    <row r="13" customFormat="false" ht="53.7" hidden="false" customHeight="false" outlineLevel="0" collapsed="false">
      <c r="A13" s="21" t="s">
        <v>1073</v>
      </c>
      <c r="B13" s="21" t="s">
        <v>1093</v>
      </c>
      <c r="C13" s="22" t="s">
        <v>1094</v>
      </c>
      <c r="D13" s="7" t="n">
        <v>2</v>
      </c>
      <c r="E13" s="7" t="n">
        <v>302</v>
      </c>
      <c r="F13" s="8" t="s">
        <v>668</v>
      </c>
      <c r="G13" s="8" t="s">
        <v>669</v>
      </c>
      <c r="H13" s="16" t="n">
        <f aca="false">INDEX(Scoring!$AO$5:$AO$87,MATCH($E13,Scoring!$A$5:$A$87,0))</f>
        <v>5</v>
      </c>
      <c r="I13" s="17" t="n">
        <f aca="false">INDEX(Scoring!$AP$5:$AP$87,MATCH($E13,Scoring!$A$5:$A$87,0))</f>
        <v>3.2</v>
      </c>
      <c r="J13" s="17" t="n">
        <f aca="false">INDEX(Scoring!$AQ$5:$AQ$87,MATCH($E13,Scoring!$A$5:$A$87,0))</f>
        <v>3.75</v>
      </c>
      <c r="K13" s="17" t="n">
        <f aca="false">INDEX(Scoring!$AR$5:$AR$87,MATCH($E13,Scoring!$A$5:$A$87,0))</f>
        <v>3</v>
      </c>
      <c r="L13" s="17" t="n">
        <f aca="false">INDEX(Scoring!$AS$5:$AS$87,MATCH($E13,Scoring!$A$5:$A$87,0))</f>
        <v>4.25</v>
      </c>
      <c r="M13" s="17" t="n">
        <f aca="false">INDEX(Scoring!$AT$5:$AT$87,MATCH($E13,Scoring!$A$5:$A$87,0))</f>
        <v>3</v>
      </c>
      <c r="N13" s="18" t="n">
        <f aca="false">INDEX(Scoring!$AU$5:$AU$87,MATCH($E13,Scoring!$A$5:$A$87,0))</f>
        <v>3.7</v>
      </c>
      <c r="O13" s="7" t="n">
        <f aca="false">INDEX(Scoring!$AN$5:$AN$87,MATCH($E13,Scoring!$A$5:$A$87,0))</f>
        <v>2</v>
      </c>
      <c r="P13" s="8" t="s">
        <v>1097</v>
      </c>
      <c r="Q13" s="8" t="s">
        <v>1098</v>
      </c>
      <c r="R13" s="8" t="s">
        <v>1099</v>
      </c>
      <c r="S13" s="23" t="s">
        <v>317</v>
      </c>
    </row>
    <row r="14" customFormat="false" ht="32.8" hidden="false" customHeight="false" outlineLevel="0" collapsed="false">
      <c r="A14" s="21" t="s">
        <v>1073</v>
      </c>
      <c r="B14" s="21" t="s">
        <v>1093</v>
      </c>
      <c r="C14" s="22" t="s">
        <v>1094</v>
      </c>
      <c r="D14" s="7" t="n">
        <v>3</v>
      </c>
      <c r="E14" s="7" t="n">
        <v>356</v>
      </c>
      <c r="F14" s="8" t="s">
        <v>548</v>
      </c>
      <c r="G14" s="8" t="s">
        <v>549</v>
      </c>
      <c r="H14" s="16" t="n">
        <f aca="false">INDEX(Scoring!$AO$5:$AO$87,MATCH($E14,Scoring!$A$5:$A$87,0))</f>
        <v>5</v>
      </c>
      <c r="I14" s="17" t="n">
        <f aca="false">INDEX(Scoring!$AP$5:$AP$87,MATCH($E14,Scoring!$A$5:$A$87,0))</f>
        <v>3.2</v>
      </c>
      <c r="J14" s="17" t="n">
        <f aca="false">INDEX(Scoring!$AQ$5:$AQ$87,MATCH($E14,Scoring!$A$5:$A$87,0))</f>
        <v>3.75</v>
      </c>
      <c r="K14" s="17" t="n">
        <f aca="false">INDEX(Scoring!$AR$5:$AR$87,MATCH($E14,Scoring!$A$5:$A$87,0))</f>
        <v>3.5</v>
      </c>
      <c r="L14" s="17" t="n">
        <f aca="false">INDEX(Scoring!$AS$5:$AS$87,MATCH($E14,Scoring!$A$5:$A$87,0))</f>
        <v>4.25</v>
      </c>
      <c r="M14" s="17" t="n">
        <f aca="false">INDEX(Scoring!$AT$5:$AT$87,MATCH($E14,Scoring!$A$5:$A$87,0))</f>
        <v>3.5</v>
      </c>
      <c r="N14" s="18" t="n">
        <f aca="false">INDEX(Scoring!$AU$5:$AU$87,MATCH($E14,Scoring!$A$5:$A$87,0))</f>
        <v>3.7</v>
      </c>
      <c r="O14" s="7" t="n">
        <f aca="false">INDEX(Scoring!$AN$5:$AN$87,MATCH($E14,Scoring!$A$5:$A$87,0))</f>
        <v>4</v>
      </c>
      <c r="P14" s="8" t="s">
        <v>1100</v>
      </c>
      <c r="Q14" s="8" t="s">
        <v>1101</v>
      </c>
      <c r="R14" s="8" t="s">
        <v>1078</v>
      </c>
      <c r="S14" s="23" t="s">
        <v>317</v>
      </c>
    </row>
    <row r="15" customFormat="false" ht="32.8" hidden="false" customHeight="false" outlineLevel="0" collapsed="false">
      <c r="A15" s="21" t="s">
        <v>1073</v>
      </c>
      <c r="B15" s="21" t="s">
        <v>1093</v>
      </c>
      <c r="C15" s="22" t="s">
        <v>1094</v>
      </c>
      <c r="D15" s="7" t="n">
        <v>4</v>
      </c>
      <c r="E15" s="7" t="n">
        <v>309</v>
      </c>
      <c r="F15" s="8" t="s">
        <v>342</v>
      </c>
      <c r="G15" s="8" t="s">
        <v>343</v>
      </c>
      <c r="H15" s="16" t="n">
        <f aca="false">INDEX(Scoring!$AO$5:$AO$87,MATCH($E15,Scoring!$A$5:$A$87,0))</f>
        <v>4</v>
      </c>
      <c r="I15" s="17" t="n">
        <f aca="false">INDEX(Scoring!$AP$5:$AP$87,MATCH($E15,Scoring!$A$5:$A$87,0))</f>
        <v>3</v>
      </c>
      <c r="J15" s="17" t="n">
        <f aca="false">INDEX(Scoring!$AQ$5:$AQ$87,MATCH($E15,Scoring!$A$5:$A$87,0))</f>
        <v>3.5</v>
      </c>
      <c r="K15" s="17" t="n">
        <f aca="false">INDEX(Scoring!$AR$5:$AR$87,MATCH($E15,Scoring!$A$5:$A$87,0))</f>
        <v>3.25</v>
      </c>
      <c r="L15" s="17" t="n">
        <f aca="false">INDEX(Scoring!$AS$5:$AS$87,MATCH($E15,Scoring!$A$5:$A$87,0))</f>
        <v>4.75</v>
      </c>
      <c r="M15" s="17" t="n">
        <f aca="false">INDEX(Scoring!$AT$5:$AT$87,MATCH($E15,Scoring!$A$5:$A$87,0))</f>
        <v>2.75</v>
      </c>
      <c r="N15" s="18" t="n">
        <f aca="false">INDEX(Scoring!$AU$5:$AU$87,MATCH($E15,Scoring!$A$5:$A$87,0))</f>
        <v>3.625</v>
      </c>
      <c r="O15" s="7" t="n">
        <f aca="false">INDEX(Scoring!$AN$5:$AN$87,MATCH($E15,Scoring!$A$5:$A$87,0))</f>
        <v>2</v>
      </c>
      <c r="P15" s="8" t="s">
        <v>1102</v>
      </c>
      <c r="Q15" s="8" t="s">
        <v>1103</v>
      </c>
      <c r="R15" s="8" t="s">
        <v>1078</v>
      </c>
      <c r="S15" s="23" t="s">
        <v>317</v>
      </c>
    </row>
    <row r="16" customFormat="false" ht="53.7" hidden="false" customHeight="false" outlineLevel="0" collapsed="false">
      <c r="A16" s="21" t="s">
        <v>1073</v>
      </c>
      <c r="B16" s="21" t="s">
        <v>1093</v>
      </c>
      <c r="C16" s="22" t="s">
        <v>1094</v>
      </c>
      <c r="D16" s="7" t="n">
        <v>5</v>
      </c>
      <c r="E16" s="7" t="n">
        <v>303</v>
      </c>
      <c r="F16" s="8" t="s">
        <v>668</v>
      </c>
      <c r="G16" s="8" t="s">
        <v>745</v>
      </c>
      <c r="H16" s="16" t="n">
        <f aca="false">INDEX(Scoring!$AO$5:$AO$87,MATCH($E16,Scoring!$A$5:$A$87,0))</f>
        <v>4</v>
      </c>
      <c r="I16" s="17" t="n">
        <f aca="false">INDEX(Scoring!$AP$5:$AP$87,MATCH($E16,Scoring!$A$5:$A$87,0))</f>
        <v>3.6</v>
      </c>
      <c r="J16" s="17" t="n">
        <f aca="false">INDEX(Scoring!$AQ$5:$AQ$87,MATCH($E16,Scoring!$A$5:$A$87,0))</f>
        <v>4</v>
      </c>
      <c r="K16" s="17" t="n">
        <f aca="false">INDEX(Scoring!$AR$5:$AR$87,MATCH($E16,Scoring!$A$5:$A$87,0))</f>
        <v>3.25</v>
      </c>
      <c r="L16" s="17" t="n">
        <f aca="false">INDEX(Scoring!$AS$5:$AS$87,MATCH($E16,Scoring!$A$5:$A$87,0))</f>
        <v>4.25</v>
      </c>
      <c r="M16" s="17" t="n">
        <f aca="false">INDEX(Scoring!$AT$5:$AT$87,MATCH($E16,Scoring!$A$5:$A$87,0))</f>
        <v>3.5</v>
      </c>
      <c r="N16" s="18" t="n">
        <f aca="false">INDEX(Scoring!$AU$5:$AU$87,MATCH($E16,Scoring!$A$5:$A$87,0))</f>
        <v>3.6</v>
      </c>
      <c r="O16" s="7" t="n">
        <f aca="false">INDEX(Scoring!$AN$5:$AN$87,MATCH($E16,Scoring!$A$5:$A$87,0))</f>
        <v>2</v>
      </c>
      <c r="P16" s="8" t="s">
        <v>1104</v>
      </c>
      <c r="Q16" s="8" t="s">
        <v>1105</v>
      </c>
      <c r="R16" s="8" t="s">
        <v>1084</v>
      </c>
      <c r="S16" s="23" t="s">
        <v>317</v>
      </c>
    </row>
    <row r="17" customFormat="false" ht="43.25" hidden="false" customHeight="false" outlineLevel="0" collapsed="false">
      <c r="A17" s="21" t="s">
        <v>1073</v>
      </c>
      <c r="B17" s="21" t="s">
        <v>1093</v>
      </c>
      <c r="C17" s="22" t="s">
        <v>1094</v>
      </c>
      <c r="D17" s="7" t="n">
        <v>6</v>
      </c>
      <c r="E17" s="7" t="n">
        <v>305</v>
      </c>
      <c r="F17" s="8" t="s">
        <v>426</v>
      </c>
      <c r="G17" s="8" t="s">
        <v>427</v>
      </c>
      <c r="H17" s="16" t="n">
        <f aca="false">INDEX(Scoring!$AO$5:$AO$87,MATCH($E17,Scoring!$A$5:$A$87,0))</f>
        <v>4</v>
      </c>
      <c r="I17" s="17" t="n">
        <f aca="false">INDEX(Scoring!$AP$5:$AP$87,MATCH($E17,Scoring!$A$5:$A$87,0))</f>
        <v>4.2</v>
      </c>
      <c r="J17" s="17" t="n">
        <f aca="false">INDEX(Scoring!$AQ$5:$AQ$87,MATCH($E17,Scoring!$A$5:$A$87,0))</f>
        <v>3.25</v>
      </c>
      <c r="K17" s="17" t="n">
        <f aca="false">INDEX(Scoring!$AR$5:$AR$87,MATCH($E17,Scoring!$A$5:$A$87,0))</f>
        <v>2.75</v>
      </c>
      <c r="L17" s="17" t="n">
        <f aca="false">INDEX(Scoring!$AS$5:$AS$87,MATCH($E17,Scoring!$A$5:$A$87,0))</f>
        <v>4.25</v>
      </c>
      <c r="M17" s="17" t="n">
        <f aca="false">INDEX(Scoring!$AT$5:$AT$87,MATCH($E17,Scoring!$A$5:$A$87,0))</f>
        <v>3.25</v>
      </c>
      <c r="N17" s="18" t="n">
        <f aca="false">INDEX(Scoring!$AU$5:$AU$87,MATCH($E17,Scoring!$A$5:$A$87,0))</f>
        <v>3.53333333333333</v>
      </c>
      <c r="O17" s="7" t="n">
        <f aca="false">INDEX(Scoring!$AN$5:$AN$87,MATCH($E17,Scoring!$A$5:$A$87,0))</f>
        <v>2</v>
      </c>
      <c r="P17" s="8" t="s">
        <v>1106</v>
      </c>
      <c r="Q17" s="8" t="s">
        <v>1107</v>
      </c>
      <c r="R17" s="8" t="s">
        <v>1099</v>
      </c>
      <c r="S17" s="23" t="s">
        <v>317</v>
      </c>
    </row>
    <row r="18" customFormat="false" ht="32.8" hidden="false" customHeight="false" outlineLevel="0" collapsed="false">
      <c r="A18" s="21" t="s">
        <v>1073</v>
      </c>
      <c r="B18" s="21" t="s">
        <v>1093</v>
      </c>
      <c r="C18" s="22" t="s">
        <v>1094</v>
      </c>
      <c r="D18" s="7" t="n">
        <v>7</v>
      </c>
      <c r="E18" s="7" t="n">
        <v>354</v>
      </c>
      <c r="F18" s="8" t="s">
        <v>631</v>
      </c>
      <c r="G18" s="8" t="s">
        <v>632</v>
      </c>
      <c r="H18" s="16" t="n">
        <f aca="false">INDEX(Scoring!$AO$5:$AO$87,MATCH($E18,Scoring!$A$5:$A$87,0))</f>
        <v>4</v>
      </c>
      <c r="I18" s="17" t="n">
        <f aca="false">INDEX(Scoring!$AP$5:$AP$87,MATCH($E18,Scoring!$A$5:$A$87,0))</f>
        <v>3.6</v>
      </c>
      <c r="J18" s="17" t="n">
        <f aca="false">INDEX(Scoring!$AQ$5:$AQ$87,MATCH($E18,Scoring!$A$5:$A$87,0))</f>
        <v>3.5</v>
      </c>
      <c r="K18" s="17" t="n">
        <f aca="false">INDEX(Scoring!$AR$5:$AR$87,MATCH($E18,Scoring!$A$5:$A$87,0))</f>
        <v>3</v>
      </c>
      <c r="L18" s="17" t="n">
        <f aca="false">INDEX(Scoring!$AS$5:$AS$87,MATCH($E18,Scoring!$A$5:$A$87,0))</f>
        <v>3</v>
      </c>
      <c r="M18" s="17" t="n">
        <f aca="false">INDEX(Scoring!$AT$5:$AT$87,MATCH($E18,Scoring!$A$5:$A$87,0))</f>
        <v>2.625</v>
      </c>
      <c r="N18" s="18" t="n">
        <f aca="false">INDEX(Scoring!$AU$5:$AU$87,MATCH($E18,Scoring!$A$5:$A$87,0))</f>
        <v>3.4125</v>
      </c>
      <c r="O18" s="7" t="n">
        <f aca="false">INDEX(Scoring!$AN$5:$AN$87,MATCH($E18,Scoring!$A$5:$A$87,0))</f>
        <v>4</v>
      </c>
      <c r="P18" s="8" t="s">
        <v>1108</v>
      </c>
      <c r="Q18" s="8" t="s">
        <v>1109</v>
      </c>
      <c r="R18" s="8" t="s">
        <v>1081</v>
      </c>
      <c r="S18" s="23" t="s">
        <v>317</v>
      </c>
    </row>
    <row r="19" customFormat="false" ht="43.25" hidden="false" customHeight="false" outlineLevel="0" collapsed="false">
      <c r="A19" s="21" t="s">
        <v>1073</v>
      </c>
      <c r="B19" s="21" t="s">
        <v>1110</v>
      </c>
      <c r="C19" s="22" t="s">
        <v>1111</v>
      </c>
      <c r="D19" s="7" t="n">
        <v>1</v>
      </c>
      <c r="E19" s="7" t="n">
        <v>333</v>
      </c>
      <c r="F19" s="8" t="s">
        <v>518</v>
      </c>
      <c r="G19" s="8" t="s">
        <v>527</v>
      </c>
      <c r="H19" s="16" t="n">
        <f aca="false">INDEX(Scoring!$AO$5:$AO$87,MATCH($E19,Scoring!$A$5:$A$87,0))</f>
        <v>3</v>
      </c>
      <c r="I19" s="17" t="n">
        <f aca="false">INDEX(Scoring!$AP$5:$AP$87,MATCH($E19,Scoring!$A$5:$A$87,0))</f>
        <v>3.4</v>
      </c>
      <c r="J19" s="17" t="n">
        <f aca="false">INDEX(Scoring!$AQ$5:$AQ$87,MATCH($E19,Scoring!$A$5:$A$87,0))</f>
        <v>4</v>
      </c>
      <c r="K19" s="17" t="n">
        <f aca="false">INDEX(Scoring!$AR$5:$AR$87,MATCH($E19,Scoring!$A$5:$A$87,0))</f>
        <v>3.75</v>
      </c>
      <c r="L19" s="17" t="n">
        <f aca="false">INDEX(Scoring!$AS$5:$AS$87,MATCH($E19,Scoring!$A$5:$A$87,0))</f>
        <v>3.5</v>
      </c>
      <c r="M19" s="17" t="n">
        <f aca="false">INDEX(Scoring!$AT$5:$AT$87,MATCH($E19,Scoring!$A$5:$A$87,0))</f>
        <v>2.25</v>
      </c>
      <c r="N19" s="18" t="n">
        <f aca="false">INDEX(Scoring!$AU$5:$AU$87,MATCH($E19,Scoring!$A$5:$A$87,0))</f>
        <v>3.56666666666667</v>
      </c>
      <c r="O19" s="7" t="n">
        <f aca="false">INDEX(Scoring!$AN$5:$AN$87,MATCH($E19,Scoring!$A$5:$A$87,0))</f>
        <v>3</v>
      </c>
      <c r="P19" s="8" t="s">
        <v>1112</v>
      </c>
      <c r="Q19" s="8" t="s">
        <v>1113</v>
      </c>
      <c r="R19" s="8" t="s">
        <v>1078</v>
      </c>
      <c r="S19" s="23" t="s">
        <v>317</v>
      </c>
    </row>
    <row r="20" customFormat="false" ht="43.25" hidden="false" customHeight="false" outlineLevel="0" collapsed="false">
      <c r="A20" s="21" t="s">
        <v>1073</v>
      </c>
      <c r="B20" s="21" t="s">
        <v>1110</v>
      </c>
      <c r="C20" s="22" t="s">
        <v>1111</v>
      </c>
      <c r="D20" s="7" t="n">
        <v>2</v>
      </c>
      <c r="E20" s="7" t="n">
        <v>289</v>
      </c>
      <c r="F20" s="8" t="s">
        <v>586</v>
      </c>
      <c r="G20" s="8" t="s">
        <v>587</v>
      </c>
      <c r="H20" s="16" t="n">
        <f aca="false">INDEX(Scoring!$AO$5:$AO$87,MATCH($E20,Scoring!$A$5:$A$87,0))</f>
        <v>3</v>
      </c>
      <c r="I20" s="17" t="n">
        <f aca="false">INDEX(Scoring!$AP$5:$AP$87,MATCH($E20,Scoring!$A$5:$A$87,0))</f>
        <v>3.6</v>
      </c>
      <c r="J20" s="17" t="n">
        <f aca="false">INDEX(Scoring!$AQ$5:$AQ$87,MATCH($E20,Scoring!$A$5:$A$87,0))</f>
        <v>3.5</v>
      </c>
      <c r="K20" s="17" t="n">
        <f aca="false">INDEX(Scoring!$AR$5:$AR$87,MATCH($E20,Scoring!$A$5:$A$87,0))</f>
        <v>3.5</v>
      </c>
      <c r="L20" s="17" t="n">
        <f aca="false">INDEX(Scoring!$AS$5:$AS$87,MATCH($E20,Scoring!$A$5:$A$87,0))</f>
        <v>3</v>
      </c>
      <c r="M20" s="17" t="n">
        <f aca="false">INDEX(Scoring!$AT$5:$AT$87,MATCH($E20,Scoring!$A$5:$A$87,0))</f>
        <v>1.875</v>
      </c>
      <c r="N20" s="18" t="n">
        <f aca="false">INDEX(Scoring!$AU$5:$AU$87,MATCH($E20,Scoring!$A$5:$A$87,0))</f>
        <v>3.45416666666667</v>
      </c>
      <c r="O20" s="7" t="n">
        <f aca="false">INDEX(Scoring!$AN$5:$AN$87,MATCH($E20,Scoring!$A$5:$A$87,0))</f>
        <v>3</v>
      </c>
      <c r="P20" s="8" t="s">
        <v>1114</v>
      </c>
      <c r="Q20" s="8" t="s">
        <v>1115</v>
      </c>
      <c r="R20" s="8" t="s">
        <v>1078</v>
      </c>
      <c r="S20" s="23" t="s">
        <v>317</v>
      </c>
    </row>
    <row r="21" customFormat="false" ht="32.8" hidden="false" customHeight="false" outlineLevel="0" collapsed="false">
      <c r="A21" s="21" t="s">
        <v>1073</v>
      </c>
      <c r="B21" s="21" t="s">
        <v>1110</v>
      </c>
      <c r="C21" s="22" t="s">
        <v>1111</v>
      </c>
      <c r="D21" s="7" t="n">
        <v>3</v>
      </c>
      <c r="E21" s="7" t="n">
        <v>326</v>
      </c>
      <c r="F21" s="8" t="s">
        <v>508</v>
      </c>
      <c r="G21" s="8" t="s">
        <v>624</v>
      </c>
      <c r="H21" s="16" t="n">
        <f aca="false">INDEX(Scoring!$AO$5:$AO$87,MATCH($E21,Scoring!$A$5:$A$87,0))</f>
        <v>3</v>
      </c>
      <c r="I21" s="17" t="n">
        <f aca="false">INDEX(Scoring!$AP$5:$AP$87,MATCH($E21,Scoring!$A$5:$A$87,0))</f>
        <v>3.4</v>
      </c>
      <c r="J21" s="17" t="n">
        <f aca="false">INDEX(Scoring!$AQ$5:$AQ$87,MATCH($E21,Scoring!$A$5:$A$87,0))</f>
        <v>3.25</v>
      </c>
      <c r="K21" s="17" t="n">
        <f aca="false">INDEX(Scoring!$AR$5:$AR$87,MATCH($E21,Scoring!$A$5:$A$87,0))</f>
        <v>4</v>
      </c>
      <c r="L21" s="17" t="n">
        <f aca="false">INDEX(Scoring!$AS$5:$AS$87,MATCH($E21,Scoring!$A$5:$A$87,0))</f>
        <v>2.5</v>
      </c>
      <c r="M21" s="17" t="n">
        <f aca="false">INDEX(Scoring!$AT$5:$AT$87,MATCH($E21,Scoring!$A$5:$A$87,0))</f>
        <v>2.125</v>
      </c>
      <c r="N21" s="18" t="n">
        <f aca="false">INDEX(Scoring!$AU$5:$AU$87,MATCH($E21,Scoring!$A$5:$A$87,0))</f>
        <v>3.3375</v>
      </c>
      <c r="O21" s="7" t="n">
        <f aca="false">INDEX(Scoring!$AN$5:$AN$87,MATCH($E21,Scoring!$A$5:$A$87,0))</f>
        <v>2</v>
      </c>
      <c r="P21" s="8" t="s">
        <v>1116</v>
      </c>
      <c r="Q21" s="8" t="s">
        <v>1117</v>
      </c>
      <c r="R21" s="8" t="s">
        <v>1078</v>
      </c>
      <c r="S21" s="23" t="s">
        <v>317</v>
      </c>
    </row>
    <row r="22" customFormat="false" ht="43.25" hidden="false" customHeight="false" outlineLevel="0" collapsed="false">
      <c r="A22" s="24" t="s">
        <v>1118</v>
      </c>
      <c r="B22" s="24" t="s">
        <v>1119</v>
      </c>
      <c r="C22" s="25" t="s">
        <v>1120</v>
      </c>
      <c r="D22" s="7" t="n">
        <v>1</v>
      </c>
      <c r="E22" s="7" t="n">
        <v>300</v>
      </c>
      <c r="F22" s="8" t="s">
        <v>616</v>
      </c>
      <c r="G22" s="8" t="s">
        <v>617</v>
      </c>
      <c r="H22" s="16" t="n">
        <f aca="false">INDEX(Scoring!$AO$5:$AO$87,MATCH($E22,Scoring!$A$5:$A$87,0))</f>
        <v>3</v>
      </c>
      <c r="I22" s="17" t="n">
        <f aca="false">INDEX(Scoring!$AP$5:$AP$87,MATCH($E22,Scoring!$A$5:$A$87,0))</f>
        <v>3.6</v>
      </c>
      <c r="J22" s="17" t="n">
        <f aca="false">INDEX(Scoring!$AQ$5:$AQ$87,MATCH($E22,Scoring!$A$5:$A$87,0))</f>
        <v>3.5</v>
      </c>
      <c r="K22" s="17" t="n">
        <f aca="false">INDEX(Scoring!$AR$5:$AR$87,MATCH($E22,Scoring!$A$5:$A$87,0))</f>
        <v>3.25</v>
      </c>
      <c r="L22" s="17" t="n">
        <f aca="false">INDEX(Scoring!$AS$5:$AS$87,MATCH($E22,Scoring!$A$5:$A$87,0))</f>
        <v>3.75</v>
      </c>
      <c r="M22" s="17" t="n">
        <f aca="false">INDEX(Scoring!$AT$5:$AT$87,MATCH($E22,Scoring!$A$5:$A$87,0))</f>
        <v>2.75</v>
      </c>
      <c r="N22" s="18" t="n">
        <f aca="false">INDEX(Scoring!$AU$5:$AU$87,MATCH($E22,Scoring!$A$5:$A$87,0))</f>
        <v>3.39166666666667</v>
      </c>
      <c r="O22" s="7" t="n">
        <f aca="false">INDEX(Scoring!$AN$5:$AN$87,MATCH($E22,Scoring!$A$5:$A$87,0))</f>
        <v>2</v>
      </c>
      <c r="P22" s="8" t="s">
        <v>1121</v>
      </c>
      <c r="Q22" s="8" t="s">
        <v>1122</v>
      </c>
      <c r="R22" s="8" t="s">
        <v>1081</v>
      </c>
      <c r="S22" s="23" t="s">
        <v>317</v>
      </c>
    </row>
    <row r="23" customFormat="false" ht="43.25" hidden="false" customHeight="false" outlineLevel="0" collapsed="false">
      <c r="A23" s="24" t="s">
        <v>1118</v>
      </c>
      <c r="B23" s="24" t="s">
        <v>1119</v>
      </c>
      <c r="C23" s="25" t="s">
        <v>1120</v>
      </c>
      <c r="D23" s="7" t="n">
        <v>2</v>
      </c>
      <c r="E23" s="7" t="n">
        <v>290</v>
      </c>
      <c r="F23" s="8" t="s">
        <v>586</v>
      </c>
      <c r="G23" s="8" t="s">
        <v>595</v>
      </c>
      <c r="H23" s="16" t="n">
        <f aca="false">INDEX(Scoring!$AO$5:$AO$87,MATCH($E23,Scoring!$A$5:$A$87,0))</f>
        <v>3</v>
      </c>
      <c r="I23" s="17" t="n">
        <f aca="false">INDEX(Scoring!$AP$5:$AP$87,MATCH($E23,Scoring!$A$5:$A$87,0))</f>
        <v>3.8</v>
      </c>
      <c r="J23" s="17" t="n">
        <f aca="false">INDEX(Scoring!$AQ$5:$AQ$87,MATCH($E23,Scoring!$A$5:$A$87,0))</f>
        <v>3.25</v>
      </c>
      <c r="K23" s="17" t="n">
        <f aca="false">INDEX(Scoring!$AR$5:$AR$87,MATCH($E23,Scoring!$A$5:$A$87,0))</f>
        <v>3.25</v>
      </c>
      <c r="L23" s="17" t="n">
        <f aca="false">INDEX(Scoring!$AS$5:$AS$87,MATCH($E23,Scoring!$A$5:$A$87,0))</f>
        <v>2.75</v>
      </c>
      <c r="M23" s="17" t="n">
        <f aca="false">INDEX(Scoring!$AT$5:$AT$87,MATCH($E23,Scoring!$A$5:$A$87,0))</f>
        <v>2</v>
      </c>
      <c r="N23" s="18" t="n">
        <f aca="false">INDEX(Scoring!$AU$5:$AU$87,MATCH($E23,Scoring!$A$5:$A$87,0))</f>
        <v>3.34166666666667</v>
      </c>
      <c r="O23" s="7" t="n">
        <f aca="false">INDEX(Scoring!$AN$5:$AN$87,MATCH($E23,Scoring!$A$5:$A$87,0))</f>
        <v>3</v>
      </c>
      <c r="P23" s="8" t="s">
        <v>1123</v>
      </c>
      <c r="Q23" s="8" t="s">
        <v>1124</v>
      </c>
      <c r="R23" s="8" t="s">
        <v>1081</v>
      </c>
      <c r="S23" s="23" t="s">
        <v>317</v>
      </c>
    </row>
    <row r="24" customFormat="false" ht="43.25" hidden="false" customHeight="false" outlineLevel="0" collapsed="false">
      <c r="A24" s="24" t="s">
        <v>1118</v>
      </c>
      <c r="B24" s="24" t="s">
        <v>1119</v>
      </c>
      <c r="C24" s="25" t="s">
        <v>1120</v>
      </c>
      <c r="D24" s="7" t="n">
        <v>3</v>
      </c>
      <c r="E24" s="7" t="n">
        <v>312</v>
      </c>
      <c r="F24" s="8" t="s">
        <v>700</v>
      </c>
      <c r="G24" s="8" t="s">
        <v>701</v>
      </c>
      <c r="H24" s="16" t="n">
        <f aca="false">INDEX(Scoring!$AO$5:$AO$87,MATCH($E24,Scoring!$A$5:$A$87,0))</f>
        <v>3</v>
      </c>
      <c r="I24" s="17" t="n">
        <f aca="false">INDEX(Scoring!$AP$5:$AP$87,MATCH($E24,Scoring!$A$5:$A$87,0))</f>
        <v>3.6</v>
      </c>
      <c r="J24" s="17" t="n">
        <f aca="false">INDEX(Scoring!$AQ$5:$AQ$87,MATCH($E24,Scoring!$A$5:$A$87,0))</f>
        <v>2.75</v>
      </c>
      <c r="K24" s="17" t="n">
        <f aca="false">INDEX(Scoring!$AR$5:$AR$87,MATCH($E24,Scoring!$A$5:$A$87,0))</f>
        <v>3.5</v>
      </c>
      <c r="L24" s="17" t="n">
        <f aca="false">INDEX(Scoring!$AS$5:$AS$87,MATCH($E24,Scoring!$A$5:$A$87,0))</f>
        <v>3.25</v>
      </c>
      <c r="M24" s="17" t="n">
        <f aca="false">INDEX(Scoring!$AT$5:$AT$87,MATCH($E24,Scoring!$A$5:$A$87,0))</f>
        <v>2.375</v>
      </c>
      <c r="N24" s="18" t="n">
        <f aca="false">INDEX(Scoring!$AU$5:$AU$87,MATCH($E24,Scoring!$A$5:$A$87,0))</f>
        <v>3.2875</v>
      </c>
      <c r="O24" s="7" t="n">
        <f aca="false">INDEX(Scoring!$AN$5:$AN$87,MATCH($E24,Scoring!$A$5:$A$87,0))</f>
        <v>2</v>
      </c>
      <c r="P24" s="8" t="s">
        <v>1125</v>
      </c>
      <c r="Q24" s="8" t="s">
        <v>1126</v>
      </c>
      <c r="R24" s="8" t="s">
        <v>1078</v>
      </c>
      <c r="S24" s="23" t="s">
        <v>317</v>
      </c>
    </row>
    <row r="25" customFormat="false" ht="32.8" hidden="false" customHeight="false" outlineLevel="0" collapsed="false">
      <c r="A25" s="24" t="s">
        <v>1118</v>
      </c>
      <c r="B25" s="24" t="s">
        <v>1127</v>
      </c>
      <c r="C25" s="25" t="s">
        <v>1128</v>
      </c>
      <c r="D25" s="7" t="n">
        <v>1</v>
      </c>
      <c r="E25" s="7" t="n">
        <v>281</v>
      </c>
      <c r="F25" s="8" t="s">
        <v>302</v>
      </c>
      <c r="G25" s="8" t="s">
        <v>303</v>
      </c>
      <c r="H25" s="16" t="n">
        <f aca="false">INDEX(Scoring!$AO$5:$AO$87,MATCH($E25,Scoring!$A$5:$A$87,0))</f>
        <v>5</v>
      </c>
      <c r="I25" s="17" t="n">
        <f aca="false">INDEX(Scoring!$AP$5:$AP$87,MATCH($E25,Scoring!$A$5:$A$87,0))</f>
        <v>3</v>
      </c>
      <c r="J25" s="17" t="n">
        <f aca="false">INDEX(Scoring!$AQ$5:$AQ$87,MATCH($E25,Scoring!$A$5:$A$87,0))</f>
        <v>3.5</v>
      </c>
      <c r="K25" s="17" t="n">
        <f aca="false">INDEX(Scoring!$AR$5:$AR$87,MATCH($E25,Scoring!$A$5:$A$87,0))</f>
        <v>2.75</v>
      </c>
      <c r="L25" s="17" t="n">
        <f aca="false">INDEX(Scoring!$AS$5:$AS$87,MATCH($E25,Scoring!$A$5:$A$87,0))</f>
        <v>3.5</v>
      </c>
      <c r="M25" s="17" t="n">
        <f aca="false">INDEX(Scoring!$AT$5:$AT$87,MATCH($E25,Scoring!$A$5:$A$87,0))</f>
        <v>2.875</v>
      </c>
      <c r="N25" s="18" t="n">
        <f aca="false">INDEX(Scoring!$AU$5:$AU$87,MATCH($E25,Scoring!$A$5:$A$87,0))</f>
        <v>3.47916666666667</v>
      </c>
      <c r="O25" s="7" t="n">
        <f aca="false">INDEX(Scoring!$AN$5:$AN$87,MATCH($E25,Scoring!$A$5:$A$87,0))</f>
        <v>2</v>
      </c>
      <c r="P25" s="8" t="s">
        <v>1129</v>
      </c>
      <c r="Q25" s="8" t="s">
        <v>1130</v>
      </c>
      <c r="R25" s="8" t="s">
        <v>1078</v>
      </c>
      <c r="S25" s="23" t="s">
        <v>317</v>
      </c>
    </row>
    <row r="26" customFormat="false" ht="43.25" hidden="false" customHeight="false" outlineLevel="0" collapsed="false">
      <c r="A26" s="24" t="s">
        <v>1118</v>
      </c>
      <c r="B26" s="24" t="s">
        <v>1127</v>
      </c>
      <c r="C26" s="25" t="s">
        <v>1128</v>
      </c>
      <c r="D26" s="7" t="n">
        <v>2</v>
      </c>
      <c r="E26" s="7" t="n">
        <v>297</v>
      </c>
      <c r="F26" s="8" t="s">
        <v>812</v>
      </c>
      <c r="G26" s="8" t="s">
        <v>813</v>
      </c>
      <c r="H26" s="16" t="n">
        <f aca="false">INDEX(Scoring!$AO$5:$AO$87,MATCH($E26,Scoring!$A$5:$A$87,0))</f>
        <v>4</v>
      </c>
      <c r="I26" s="17" t="n">
        <f aca="false">INDEX(Scoring!$AP$5:$AP$87,MATCH($E26,Scoring!$A$5:$A$87,0))</f>
        <v>3.2</v>
      </c>
      <c r="J26" s="17" t="n">
        <f aca="false">INDEX(Scoring!$AQ$5:$AQ$87,MATCH($E26,Scoring!$A$5:$A$87,0))</f>
        <v>3.5</v>
      </c>
      <c r="K26" s="17" t="n">
        <f aca="false">INDEX(Scoring!$AR$5:$AR$87,MATCH($E26,Scoring!$A$5:$A$87,0))</f>
        <v>3</v>
      </c>
      <c r="L26" s="17" t="n">
        <f aca="false">INDEX(Scoring!$AS$5:$AS$87,MATCH($E26,Scoring!$A$5:$A$87,0))</f>
        <v>3.75</v>
      </c>
      <c r="M26" s="17" t="n">
        <f aca="false">INDEX(Scoring!$AT$5:$AT$87,MATCH($E26,Scoring!$A$5:$A$87,0))</f>
        <v>2.875</v>
      </c>
      <c r="N26" s="18" t="n">
        <f aca="false">INDEX(Scoring!$AU$5:$AU$87,MATCH($E26,Scoring!$A$5:$A$87,0))</f>
        <v>3.42916666666667</v>
      </c>
      <c r="O26" s="7" t="n">
        <f aca="false">INDEX(Scoring!$AN$5:$AN$87,MATCH($E26,Scoring!$A$5:$A$87,0))</f>
        <v>2</v>
      </c>
      <c r="P26" s="8" t="s">
        <v>1131</v>
      </c>
      <c r="Q26" s="8" t="s">
        <v>1132</v>
      </c>
      <c r="R26" s="8" t="s">
        <v>1081</v>
      </c>
      <c r="S26" s="23" t="s">
        <v>317</v>
      </c>
    </row>
    <row r="27" customFormat="false" ht="32.8" hidden="false" customHeight="false" outlineLevel="0" collapsed="false">
      <c r="A27" s="24" t="s">
        <v>1118</v>
      </c>
      <c r="B27" s="24" t="s">
        <v>1127</v>
      </c>
      <c r="C27" s="25" t="s">
        <v>1128</v>
      </c>
      <c r="D27" s="7" t="n">
        <v>3</v>
      </c>
      <c r="E27" s="7" t="n">
        <v>365</v>
      </c>
      <c r="F27" s="8" t="s">
        <v>518</v>
      </c>
      <c r="G27" s="8" t="s">
        <v>570</v>
      </c>
      <c r="H27" s="16" t="n">
        <f aca="false">INDEX(Scoring!$AO$5:$AO$87,MATCH($E27,Scoring!$A$5:$A$87,0))</f>
        <v>4</v>
      </c>
      <c r="I27" s="17" t="n">
        <f aca="false">INDEX(Scoring!$AP$5:$AP$87,MATCH($E27,Scoring!$A$5:$A$87,0))</f>
        <v>3</v>
      </c>
      <c r="J27" s="17" t="n">
        <f aca="false">INDEX(Scoring!$AQ$5:$AQ$87,MATCH($E27,Scoring!$A$5:$A$87,0))</f>
        <v>3.75</v>
      </c>
      <c r="K27" s="17" t="n">
        <f aca="false">INDEX(Scoring!$AR$5:$AR$87,MATCH($E27,Scoring!$A$5:$A$87,0))</f>
        <v>3.25</v>
      </c>
      <c r="L27" s="17" t="n">
        <f aca="false">INDEX(Scoring!$AS$5:$AS$87,MATCH($E27,Scoring!$A$5:$A$87,0))</f>
        <v>3.25</v>
      </c>
      <c r="M27" s="17" t="n">
        <f aca="false">INDEX(Scoring!$AT$5:$AT$87,MATCH($E27,Scoring!$A$5:$A$87,0))</f>
        <v>2.75</v>
      </c>
      <c r="N27" s="18" t="n">
        <f aca="false">INDEX(Scoring!$AU$5:$AU$87,MATCH($E27,Scoring!$A$5:$A$87,0))</f>
        <v>3.41666666666667</v>
      </c>
      <c r="O27" s="7" t="n">
        <f aca="false">INDEX(Scoring!$AN$5:$AN$87,MATCH($E27,Scoring!$A$5:$A$87,0))</f>
        <v>2</v>
      </c>
      <c r="P27" s="8" t="s">
        <v>1133</v>
      </c>
      <c r="Q27" s="8" t="s">
        <v>1134</v>
      </c>
      <c r="R27" s="8" t="s">
        <v>1081</v>
      </c>
      <c r="S27" s="23" t="s">
        <v>317</v>
      </c>
    </row>
    <row r="28" customFormat="false" ht="32.8" hidden="false" customHeight="false" outlineLevel="0" collapsed="false">
      <c r="A28" s="24" t="s">
        <v>1118</v>
      </c>
      <c r="B28" s="24" t="s">
        <v>1127</v>
      </c>
      <c r="C28" s="25" t="s">
        <v>1128</v>
      </c>
      <c r="D28" s="7" t="n">
        <v>4</v>
      </c>
      <c r="E28" s="7" t="n">
        <v>301</v>
      </c>
      <c r="F28" s="8" t="s">
        <v>640</v>
      </c>
      <c r="G28" s="8" t="s">
        <v>1135</v>
      </c>
      <c r="H28" s="16" t="n">
        <f aca="false">INDEX(Scoring!$AO$5:$AO$87,MATCH($E28,Scoring!$A$5:$A$87,0))</f>
        <v>4</v>
      </c>
      <c r="I28" s="17" t="n">
        <f aca="false">INDEX(Scoring!$AP$5:$AP$87,MATCH($E28,Scoring!$A$5:$A$87,0))</f>
        <v>3</v>
      </c>
      <c r="J28" s="17" t="n">
        <f aca="false">INDEX(Scoring!$AQ$5:$AQ$87,MATCH($E28,Scoring!$A$5:$A$87,0))</f>
        <v>3</v>
      </c>
      <c r="K28" s="17" t="n">
        <f aca="false">INDEX(Scoring!$AR$5:$AR$87,MATCH($E28,Scoring!$A$5:$A$87,0))</f>
        <v>3.75</v>
      </c>
      <c r="L28" s="17" t="n">
        <f aca="false">INDEX(Scoring!$AS$5:$AS$87,MATCH($E28,Scoring!$A$5:$A$87,0))</f>
        <v>3.75</v>
      </c>
      <c r="M28" s="17" t="n">
        <f aca="false">INDEX(Scoring!$AT$5:$AT$87,MATCH($E28,Scoring!$A$5:$A$87,0))</f>
        <v>3.25</v>
      </c>
      <c r="N28" s="18" t="n">
        <f aca="false">INDEX(Scoring!$AU$5:$AU$87,MATCH($E28,Scoring!$A$5:$A$87,0))</f>
        <v>3.375</v>
      </c>
      <c r="O28" s="7" t="n">
        <f aca="false">INDEX(Scoring!$AN$5:$AN$87,MATCH($E28,Scoring!$A$5:$A$87,0))</f>
        <v>3</v>
      </c>
      <c r="P28" s="8" t="s">
        <v>1136</v>
      </c>
      <c r="Q28" s="8" t="s">
        <v>1137</v>
      </c>
      <c r="R28" s="8" t="s">
        <v>1078</v>
      </c>
      <c r="S28" s="23" t="s">
        <v>317</v>
      </c>
    </row>
    <row r="29" customFormat="false" ht="32.8" hidden="false" customHeight="false" outlineLevel="0" collapsed="false">
      <c r="A29" s="24" t="s">
        <v>1118</v>
      </c>
      <c r="B29" s="24" t="s">
        <v>1127</v>
      </c>
      <c r="C29" s="25" t="s">
        <v>1128</v>
      </c>
      <c r="D29" s="7" t="n">
        <v>5</v>
      </c>
      <c r="E29" s="7" t="n">
        <v>338</v>
      </c>
      <c r="F29" s="8" t="s">
        <v>388</v>
      </c>
      <c r="G29" s="8" t="s">
        <v>532</v>
      </c>
      <c r="H29" s="16" t="n">
        <f aca="false">INDEX(Scoring!$AO$5:$AO$87,MATCH($E29,Scoring!$A$5:$A$87,0))</f>
        <v>4</v>
      </c>
      <c r="I29" s="17" t="n">
        <f aca="false">INDEX(Scoring!$AP$5:$AP$87,MATCH($E29,Scoring!$A$5:$A$87,0))</f>
        <v>3.2</v>
      </c>
      <c r="J29" s="17" t="n">
        <f aca="false">INDEX(Scoring!$AQ$5:$AQ$87,MATCH($E29,Scoring!$A$5:$A$87,0))</f>
        <v>3.5</v>
      </c>
      <c r="K29" s="17" t="n">
        <f aca="false">INDEX(Scoring!$AR$5:$AR$87,MATCH($E29,Scoring!$A$5:$A$87,0))</f>
        <v>2.75</v>
      </c>
      <c r="L29" s="17" t="n">
        <f aca="false">INDEX(Scoring!$AS$5:$AS$87,MATCH($E29,Scoring!$A$5:$A$87,0))</f>
        <v>3.25</v>
      </c>
      <c r="M29" s="17" t="n">
        <f aca="false">INDEX(Scoring!$AT$5:$AT$87,MATCH($E29,Scoring!$A$5:$A$87,0))</f>
        <v>3</v>
      </c>
      <c r="N29" s="18" t="n">
        <f aca="false">INDEX(Scoring!$AU$5:$AU$87,MATCH($E29,Scoring!$A$5:$A$87,0))</f>
        <v>3.28333333333333</v>
      </c>
      <c r="O29" s="7" t="n">
        <f aca="false">INDEX(Scoring!$AN$5:$AN$87,MATCH($E29,Scoring!$A$5:$A$87,0))</f>
        <v>3</v>
      </c>
      <c r="P29" s="8" t="s">
        <v>1138</v>
      </c>
      <c r="Q29" s="8" t="s">
        <v>1139</v>
      </c>
      <c r="R29" s="8" t="s">
        <v>1081</v>
      </c>
      <c r="S29" s="23" t="s">
        <v>317</v>
      </c>
    </row>
    <row r="30" customFormat="false" ht="43.25" hidden="false" customHeight="false" outlineLevel="0" collapsed="false">
      <c r="A30" s="24" t="s">
        <v>1118</v>
      </c>
      <c r="B30" s="24" t="s">
        <v>1127</v>
      </c>
      <c r="C30" s="25" t="s">
        <v>1128</v>
      </c>
      <c r="D30" s="7" t="n">
        <v>6</v>
      </c>
      <c r="E30" s="7" t="n">
        <v>363</v>
      </c>
      <c r="F30" s="8" t="s">
        <v>868</v>
      </c>
      <c r="G30" s="8" t="s">
        <v>869</v>
      </c>
      <c r="H30" s="16" t="n">
        <f aca="false">INDEX(Scoring!$AO$5:$AO$87,MATCH($E30,Scoring!$A$5:$A$87,0))</f>
        <v>4</v>
      </c>
      <c r="I30" s="17" t="n">
        <f aca="false">INDEX(Scoring!$AP$5:$AP$87,MATCH($E30,Scoring!$A$5:$A$87,0))</f>
        <v>2.8</v>
      </c>
      <c r="J30" s="17" t="n">
        <f aca="false">INDEX(Scoring!$AQ$5:$AQ$87,MATCH($E30,Scoring!$A$5:$A$87,0))</f>
        <v>3</v>
      </c>
      <c r="K30" s="17" t="n">
        <f aca="false">INDEX(Scoring!$AR$5:$AR$87,MATCH($E30,Scoring!$A$5:$A$87,0))</f>
        <v>3.5</v>
      </c>
      <c r="L30" s="17" t="n">
        <f aca="false">INDEX(Scoring!$AS$5:$AS$87,MATCH($E30,Scoring!$A$5:$A$87,0))</f>
        <v>3</v>
      </c>
      <c r="M30" s="17" t="n">
        <f aca="false">INDEX(Scoring!$AT$5:$AT$87,MATCH($E30,Scoring!$A$5:$A$87,0))</f>
        <v>2.875</v>
      </c>
      <c r="N30" s="18" t="n">
        <f aca="false">INDEX(Scoring!$AU$5:$AU$87,MATCH($E30,Scoring!$A$5:$A$87,0))</f>
        <v>3.2375</v>
      </c>
      <c r="O30" s="7" t="n">
        <f aca="false">INDEX(Scoring!$AN$5:$AN$87,MATCH($E30,Scoring!$A$5:$A$87,0))</f>
        <v>3</v>
      </c>
      <c r="P30" s="8" t="s">
        <v>1140</v>
      </c>
      <c r="Q30" s="8" t="s">
        <v>1141</v>
      </c>
      <c r="R30" s="8" t="s">
        <v>1081</v>
      </c>
      <c r="S30" s="23" t="s">
        <v>317</v>
      </c>
    </row>
    <row r="31" customFormat="false" ht="32.8" hidden="false" customHeight="false" outlineLevel="0" collapsed="false">
      <c r="A31" s="24" t="s">
        <v>1118</v>
      </c>
      <c r="B31" s="24" t="s">
        <v>1127</v>
      </c>
      <c r="C31" s="25" t="s">
        <v>1128</v>
      </c>
      <c r="D31" s="7" t="n">
        <v>7</v>
      </c>
      <c r="E31" s="7" t="n">
        <v>348</v>
      </c>
      <c r="F31" s="8" t="s">
        <v>365</v>
      </c>
      <c r="G31" s="8" t="s">
        <v>1142</v>
      </c>
      <c r="H31" s="16" t="n">
        <f aca="false">INDEX(Scoring!$AO$5:$AO$87,MATCH($E31,Scoring!$A$5:$A$87,0))</f>
        <v>5</v>
      </c>
      <c r="I31" s="17" t="n">
        <f aca="false">INDEX(Scoring!$AP$5:$AP$87,MATCH($E31,Scoring!$A$5:$A$87,0))</f>
        <v>2.4</v>
      </c>
      <c r="J31" s="17" t="n">
        <f aca="false">INDEX(Scoring!$AQ$5:$AQ$87,MATCH($E31,Scoring!$A$5:$A$87,0))</f>
        <v>1.75</v>
      </c>
      <c r="K31" s="17" t="n">
        <f aca="false">INDEX(Scoring!$AR$5:$AR$87,MATCH($E31,Scoring!$A$5:$A$87,0))</f>
        <v>3.5</v>
      </c>
      <c r="L31" s="17" t="n">
        <f aca="false">INDEX(Scoring!$AS$5:$AS$87,MATCH($E31,Scoring!$A$5:$A$87,0))</f>
        <v>3</v>
      </c>
      <c r="M31" s="17" t="n">
        <f aca="false">INDEX(Scoring!$AT$5:$AT$87,MATCH($E31,Scoring!$A$5:$A$87,0))</f>
        <v>3.125</v>
      </c>
      <c r="N31" s="18" t="n">
        <f aca="false">INDEX(Scoring!$AU$5:$AU$87,MATCH($E31,Scoring!$A$5:$A$87,0))</f>
        <v>3.0875</v>
      </c>
      <c r="O31" s="7" t="n">
        <f aca="false">INDEX(Scoring!$AN$5:$AN$87,MATCH($E31,Scoring!$A$5:$A$87,0))</f>
        <v>3</v>
      </c>
      <c r="P31" s="8" t="s">
        <v>1143</v>
      </c>
      <c r="Q31" s="8" t="s">
        <v>1144</v>
      </c>
      <c r="R31" s="8" t="s">
        <v>1081</v>
      </c>
      <c r="S31" s="23" t="s">
        <v>317</v>
      </c>
    </row>
    <row r="32" customFormat="false" ht="43.25" hidden="false" customHeight="false" outlineLevel="0" collapsed="false">
      <c r="A32" s="24" t="s">
        <v>1118</v>
      </c>
      <c r="B32" s="24" t="s">
        <v>1127</v>
      </c>
      <c r="C32" s="25" t="s">
        <v>1128</v>
      </c>
      <c r="D32" s="7" t="n">
        <v>8</v>
      </c>
      <c r="E32" s="7" t="n">
        <v>355</v>
      </c>
      <c r="F32" s="8" t="s">
        <v>539</v>
      </c>
      <c r="G32" s="8" t="s">
        <v>540</v>
      </c>
      <c r="H32" s="16" t="n">
        <f aca="false">INDEX(Scoring!$AO$5:$AO$87,MATCH($E32,Scoring!$A$5:$A$87,0))</f>
        <v>4</v>
      </c>
      <c r="I32" s="17" t="n">
        <f aca="false">INDEX(Scoring!$AP$5:$AP$87,MATCH($E32,Scoring!$A$5:$A$87,0))</f>
        <v>3</v>
      </c>
      <c r="J32" s="17" t="n">
        <f aca="false">INDEX(Scoring!$AQ$5:$AQ$87,MATCH($E32,Scoring!$A$5:$A$87,0))</f>
        <v>2.25</v>
      </c>
      <c r="K32" s="17" t="n">
        <f aca="false">INDEX(Scoring!$AR$5:$AR$87,MATCH($E32,Scoring!$A$5:$A$87,0))</f>
        <v>2.75</v>
      </c>
      <c r="L32" s="17" t="n">
        <f aca="false">INDEX(Scoring!$AS$5:$AS$87,MATCH($E32,Scoring!$A$5:$A$87,0))</f>
        <v>2.75</v>
      </c>
      <c r="M32" s="17" t="n">
        <f aca="false">INDEX(Scoring!$AT$5:$AT$87,MATCH($E32,Scoring!$A$5:$A$87,0))</f>
        <v>3.5</v>
      </c>
      <c r="N32" s="18" t="n">
        <f aca="false">INDEX(Scoring!$AU$5:$AU$87,MATCH($E32,Scoring!$A$5:$A$87,0))</f>
        <v>2.875</v>
      </c>
      <c r="O32" s="7" t="n">
        <f aca="false">INDEX(Scoring!$AN$5:$AN$87,MATCH($E32,Scoring!$A$5:$A$87,0))</f>
        <v>3</v>
      </c>
      <c r="P32" s="8" t="s">
        <v>1145</v>
      </c>
      <c r="Q32" s="8" t="s">
        <v>1146</v>
      </c>
      <c r="R32" s="8" t="s">
        <v>1081</v>
      </c>
      <c r="S32" s="23" t="s">
        <v>317</v>
      </c>
    </row>
    <row r="33" customFormat="false" ht="43.25" hidden="false" customHeight="false" outlineLevel="0" collapsed="false">
      <c r="A33" s="24" t="s">
        <v>1118</v>
      </c>
      <c r="B33" s="24" t="s">
        <v>1147</v>
      </c>
      <c r="C33" s="25" t="s">
        <v>1148</v>
      </c>
      <c r="D33" s="7" t="n">
        <v>1</v>
      </c>
      <c r="E33" s="7" t="n">
        <v>316</v>
      </c>
      <c r="F33" s="8" t="s">
        <v>342</v>
      </c>
      <c r="G33" s="8" t="s">
        <v>844</v>
      </c>
      <c r="H33" s="16" t="n">
        <f aca="false">INDEX(Scoring!$AO$5:$AO$87,MATCH($E33,Scoring!$A$5:$A$87,0))</f>
        <v>2</v>
      </c>
      <c r="I33" s="17" t="n">
        <f aca="false">INDEX(Scoring!$AP$5:$AP$87,MATCH($E33,Scoring!$A$5:$A$87,0))</f>
        <v>3.6</v>
      </c>
      <c r="J33" s="17" t="n">
        <f aca="false">INDEX(Scoring!$AQ$5:$AQ$87,MATCH($E33,Scoring!$A$5:$A$87,0))</f>
        <v>4.25</v>
      </c>
      <c r="K33" s="17" t="n">
        <f aca="false">INDEX(Scoring!$AR$5:$AR$87,MATCH($E33,Scoring!$A$5:$A$87,0))</f>
        <v>3.5</v>
      </c>
      <c r="L33" s="17" t="n">
        <f aca="false">INDEX(Scoring!$AS$5:$AS$87,MATCH($E33,Scoring!$A$5:$A$87,0))</f>
        <v>5</v>
      </c>
      <c r="M33" s="17" t="n">
        <f aca="false">INDEX(Scoring!$AT$5:$AT$87,MATCH($E33,Scoring!$A$5:$A$87,0))</f>
        <v>2.25</v>
      </c>
      <c r="N33" s="18" t="n">
        <f aca="false">INDEX(Scoring!$AU$5:$AU$87,MATCH($E33,Scoring!$A$5:$A$87,0))</f>
        <v>3.68333333333333</v>
      </c>
      <c r="O33" s="7" t="n">
        <f aca="false">INDEX(Scoring!$AN$5:$AN$87,MATCH($E33,Scoring!$A$5:$A$87,0))</f>
        <v>2</v>
      </c>
      <c r="P33" s="8" t="s">
        <v>1149</v>
      </c>
      <c r="Q33" s="8" t="s">
        <v>1150</v>
      </c>
      <c r="R33" s="8" t="s">
        <v>1078</v>
      </c>
      <c r="S33" s="23" t="s">
        <v>317</v>
      </c>
    </row>
    <row r="34" customFormat="false" ht="43.25" hidden="false" customHeight="false" outlineLevel="0" collapsed="false">
      <c r="A34" s="24" t="s">
        <v>1118</v>
      </c>
      <c r="B34" s="24" t="s">
        <v>1147</v>
      </c>
      <c r="C34" s="25" t="s">
        <v>1148</v>
      </c>
      <c r="D34" s="7" t="n">
        <v>2</v>
      </c>
      <c r="E34" s="7" t="n">
        <v>315</v>
      </c>
      <c r="F34" s="8" t="s">
        <v>342</v>
      </c>
      <c r="G34" s="8" t="s">
        <v>759</v>
      </c>
      <c r="H34" s="16" t="n">
        <f aca="false">INDEX(Scoring!$AO$5:$AO$87,MATCH($E34,Scoring!$A$5:$A$87,0))</f>
        <v>2</v>
      </c>
      <c r="I34" s="17" t="n">
        <f aca="false">INDEX(Scoring!$AP$5:$AP$87,MATCH($E34,Scoring!$A$5:$A$87,0))</f>
        <v>3.6</v>
      </c>
      <c r="J34" s="17" t="n">
        <f aca="false">INDEX(Scoring!$AQ$5:$AQ$87,MATCH($E34,Scoring!$A$5:$A$87,0))</f>
        <v>4.25</v>
      </c>
      <c r="K34" s="17" t="n">
        <f aca="false">INDEX(Scoring!$AR$5:$AR$87,MATCH($E34,Scoring!$A$5:$A$87,0))</f>
        <v>3.5</v>
      </c>
      <c r="L34" s="17" t="n">
        <f aca="false">INDEX(Scoring!$AS$5:$AS$87,MATCH($E34,Scoring!$A$5:$A$87,0))</f>
        <v>4.5</v>
      </c>
      <c r="M34" s="17" t="n">
        <f aca="false">INDEX(Scoring!$AT$5:$AT$87,MATCH($E34,Scoring!$A$5:$A$87,0))</f>
        <v>2.125</v>
      </c>
      <c r="N34" s="18" t="n">
        <f aca="false">INDEX(Scoring!$AU$5:$AU$87,MATCH($E34,Scoring!$A$5:$A$87,0))</f>
        <v>3.62083333333333</v>
      </c>
      <c r="O34" s="7" t="n">
        <f aca="false">INDEX(Scoring!$AN$5:$AN$87,MATCH($E34,Scoring!$A$5:$A$87,0))</f>
        <v>3</v>
      </c>
      <c r="P34" s="8" t="s">
        <v>1151</v>
      </c>
      <c r="Q34" s="8" t="s">
        <v>1152</v>
      </c>
      <c r="R34" s="8" t="s">
        <v>1078</v>
      </c>
      <c r="S34" s="23" t="s">
        <v>317</v>
      </c>
    </row>
    <row r="35" customFormat="false" ht="43.25" hidden="false" customHeight="false" outlineLevel="0" collapsed="false">
      <c r="A35" s="24" t="s">
        <v>1118</v>
      </c>
      <c r="B35" s="24" t="s">
        <v>1147</v>
      </c>
      <c r="C35" s="25" t="s">
        <v>1148</v>
      </c>
      <c r="D35" s="7" t="n">
        <v>3</v>
      </c>
      <c r="E35" s="7" t="n">
        <v>314</v>
      </c>
      <c r="F35" s="8" t="s">
        <v>342</v>
      </c>
      <c r="G35" s="8" t="s">
        <v>399</v>
      </c>
      <c r="H35" s="16" t="n">
        <f aca="false">INDEX(Scoring!$AO$5:$AO$87,MATCH($E35,Scoring!$A$5:$A$87,0))</f>
        <v>2</v>
      </c>
      <c r="I35" s="17" t="n">
        <f aca="false">INDEX(Scoring!$AP$5:$AP$87,MATCH($E35,Scoring!$A$5:$A$87,0))</f>
        <v>3.4</v>
      </c>
      <c r="J35" s="17" t="n">
        <f aca="false">INDEX(Scoring!$AQ$5:$AQ$87,MATCH($E35,Scoring!$A$5:$A$87,0))</f>
        <v>4.25</v>
      </c>
      <c r="K35" s="17" t="n">
        <f aca="false">INDEX(Scoring!$AR$5:$AR$87,MATCH($E35,Scoring!$A$5:$A$87,0))</f>
        <v>3.5</v>
      </c>
      <c r="L35" s="17" t="n">
        <f aca="false">INDEX(Scoring!$AS$5:$AS$87,MATCH($E35,Scoring!$A$5:$A$87,0))</f>
        <v>4.5</v>
      </c>
      <c r="M35" s="17" t="n">
        <f aca="false">INDEX(Scoring!$AT$5:$AT$87,MATCH($E35,Scoring!$A$5:$A$87,0))</f>
        <v>2</v>
      </c>
      <c r="N35" s="18" t="n">
        <f aca="false">INDEX(Scoring!$AU$5:$AU$87,MATCH($E35,Scoring!$A$5:$A$87,0))</f>
        <v>3.60833333333333</v>
      </c>
      <c r="O35" s="7" t="n">
        <f aca="false">INDEX(Scoring!$AN$5:$AN$87,MATCH($E35,Scoring!$A$5:$A$87,0))</f>
        <v>3</v>
      </c>
      <c r="P35" s="8" t="s">
        <v>1153</v>
      </c>
      <c r="Q35" s="8" t="s">
        <v>1154</v>
      </c>
      <c r="R35" s="8" t="s">
        <v>1078</v>
      </c>
      <c r="S35" s="23" t="s">
        <v>317</v>
      </c>
    </row>
    <row r="36" customFormat="false" ht="43.25" hidden="false" customHeight="false" outlineLevel="0" collapsed="false">
      <c r="A36" s="24" t="s">
        <v>1118</v>
      </c>
      <c r="B36" s="24" t="s">
        <v>1147</v>
      </c>
      <c r="C36" s="25" t="s">
        <v>1148</v>
      </c>
      <c r="D36" s="7" t="n">
        <v>4</v>
      </c>
      <c r="E36" s="7" t="n">
        <v>322</v>
      </c>
      <c r="F36" s="8" t="s">
        <v>426</v>
      </c>
      <c r="G36" s="8" t="s">
        <v>947</v>
      </c>
      <c r="H36" s="16" t="n">
        <f aca="false">INDEX(Scoring!$AO$5:$AO$87,MATCH($E36,Scoring!$A$5:$A$87,0))</f>
        <v>2</v>
      </c>
      <c r="I36" s="17" t="n">
        <f aca="false">INDEX(Scoring!$AP$5:$AP$87,MATCH($E36,Scoring!$A$5:$A$87,0))</f>
        <v>4</v>
      </c>
      <c r="J36" s="17" t="n">
        <f aca="false">INDEX(Scoring!$AQ$5:$AQ$87,MATCH($E36,Scoring!$A$5:$A$87,0))</f>
        <v>3.5</v>
      </c>
      <c r="K36" s="17" t="n">
        <f aca="false">INDEX(Scoring!$AR$5:$AR$87,MATCH($E36,Scoring!$A$5:$A$87,0))</f>
        <v>3.75</v>
      </c>
      <c r="L36" s="17" t="n">
        <f aca="false">INDEX(Scoring!$AS$5:$AS$87,MATCH($E36,Scoring!$A$5:$A$87,0))</f>
        <v>3.5</v>
      </c>
      <c r="M36" s="17" t="n">
        <f aca="false">INDEX(Scoring!$AT$5:$AT$87,MATCH($E36,Scoring!$A$5:$A$87,0))</f>
        <v>2.25</v>
      </c>
      <c r="N36" s="18" t="n">
        <f aca="false">INDEX(Scoring!$AU$5:$AU$87,MATCH($E36,Scoring!$A$5:$A$87,0))</f>
        <v>3.41666666666667</v>
      </c>
      <c r="O36" s="7" t="n">
        <f aca="false">INDEX(Scoring!$AN$5:$AN$87,MATCH($E36,Scoring!$A$5:$A$87,0))</f>
        <v>2</v>
      </c>
      <c r="P36" s="8" t="s">
        <v>1155</v>
      </c>
      <c r="Q36" s="8" t="s">
        <v>1156</v>
      </c>
      <c r="R36" s="8" t="s">
        <v>1084</v>
      </c>
      <c r="S36" s="23" t="s">
        <v>317</v>
      </c>
    </row>
    <row r="37" customFormat="false" ht="43.25" hidden="false" customHeight="false" outlineLevel="0" collapsed="false">
      <c r="A37" s="24" t="s">
        <v>1118</v>
      </c>
      <c r="B37" s="24" t="s">
        <v>1147</v>
      </c>
      <c r="C37" s="25" t="s">
        <v>1148</v>
      </c>
      <c r="D37" s="7" t="n">
        <v>5</v>
      </c>
      <c r="E37" s="7" t="n">
        <v>351</v>
      </c>
      <c r="F37" s="8" t="s">
        <v>457</v>
      </c>
      <c r="G37" s="8" t="s">
        <v>458</v>
      </c>
      <c r="H37" s="16" t="n">
        <f aca="false">INDEX(Scoring!$AO$5:$AO$87,MATCH($E37,Scoring!$A$5:$A$87,0))</f>
        <v>3</v>
      </c>
      <c r="I37" s="17" t="n">
        <f aca="false">INDEX(Scoring!$AP$5:$AP$87,MATCH($E37,Scoring!$A$5:$A$87,0))</f>
        <v>3.4</v>
      </c>
      <c r="J37" s="17" t="n">
        <f aca="false">INDEX(Scoring!$AQ$5:$AQ$87,MATCH($E37,Scoring!$A$5:$A$87,0))</f>
        <v>3</v>
      </c>
      <c r="K37" s="17" t="n">
        <f aca="false">INDEX(Scoring!$AR$5:$AR$87,MATCH($E37,Scoring!$A$5:$A$87,0))</f>
        <v>3.5</v>
      </c>
      <c r="L37" s="17" t="n">
        <f aca="false">INDEX(Scoring!$AS$5:$AS$87,MATCH($E37,Scoring!$A$5:$A$87,0))</f>
        <v>4</v>
      </c>
      <c r="M37" s="17" t="n">
        <f aca="false">INDEX(Scoring!$AT$5:$AT$87,MATCH($E37,Scoring!$A$5:$A$87,0))</f>
        <v>2.625</v>
      </c>
      <c r="N37" s="18" t="n">
        <f aca="false">INDEX(Scoring!$AU$5:$AU$87,MATCH($E37,Scoring!$A$5:$A$87,0))</f>
        <v>3.37916666666667</v>
      </c>
      <c r="O37" s="7" t="n">
        <f aca="false">INDEX(Scoring!$AN$5:$AN$87,MATCH($E37,Scoring!$A$5:$A$87,0))</f>
        <v>2</v>
      </c>
      <c r="P37" s="8" t="s">
        <v>1157</v>
      </c>
      <c r="Q37" s="8" t="s">
        <v>1158</v>
      </c>
      <c r="R37" s="8" t="s">
        <v>1078</v>
      </c>
      <c r="S37" s="23" t="s">
        <v>317</v>
      </c>
    </row>
    <row r="38" customFormat="false" ht="43.25" hidden="false" customHeight="false" outlineLevel="0" collapsed="false">
      <c r="A38" s="24" t="s">
        <v>1118</v>
      </c>
      <c r="B38" s="24" t="s">
        <v>1147</v>
      </c>
      <c r="C38" s="25" t="s">
        <v>1148</v>
      </c>
      <c r="D38" s="7" t="n">
        <v>6</v>
      </c>
      <c r="E38" s="7" t="n">
        <v>341</v>
      </c>
      <c r="F38" s="8" t="s">
        <v>850</v>
      </c>
      <c r="G38" s="8" t="s">
        <v>851</v>
      </c>
      <c r="H38" s="16" t="n">
        <f aca="false">INDEX(Scoring!$AO$5:$AO$87,MATCH($E38,Scoring!$A$5:$A$87,0))</f>
        <v>3</v>
      </c>
      <c r="I38" s="17" t="n">
        <f aca="false">INDEX(Scoring!$AP$5:$AP$87,MATCH($E38,Scoring!$A$5:$A$87,0))</f>
        <v>3</v>
      </c>
      <c r="J38" s="17" t="n">
        <f aca="false">INDEX(Scoring!$AQ$5:$AQ$87,MATCH($E38,Scoring!$A$5:$A$87,0))</f>
        <v>3.25</v>
      </c>
      <c r="K38" s="17" t="n">
        <f aca="false">INDEX(Scoring!$AR$5:$AR$87,MATCH($E38,Scoring!$A$5:$A$87,0))</f>
        <v>3.75</v>
      </c>
      <c r="L38" s="17" t="n">
        <f aca="false">INDEX(Scoring!$AS$5:$AS$87,MATCH($E38,Scoring!$A$5:$A$87,0))</f>
        <v>3</v>
      </c>
      <c r="M38" s="17" t="n">
        <f aca="false">INDEX(Scoring!$AT$5:$AT$87,MATCH($E38,Scoring!$A$5:$A$87,0))</f>
        <v>2</v>
      </c>
      <c r="N38" s="18" t="n">
        <f aca="false">INDEX(Scoring!$AU$5:$AU$87,MATCH($E38,Scoring!$A$5:$A$87,0))</f>
        <v>3.33333333333333</v>
      </c>
      <c r="O38" s="7" t="n">
        <f aca="false">INDEX(Scoring!$AN$5:$AN$87,MATCH($E38,Scoring!$A$5:$A$87,0))</f>
        <v>2</v>
      </c>
      <c r="P38" s="8" t="s">
        <v>1159</v>
      </c>
      <c r="Q38" s="8" t="s">
        <v>1160</v>
      </c>
      <c r="R38" s="8" t="s">
        <v>1078</v>
      </c>
      <c r="S38" s="23" t="s">
        <v>317</v>
      </c>
    </row>
    <row r="39" customFormat="false" ht="43.25" hidden="false" customHeight="false" outlineLevel="0" collapsed="false">
      <c r="A39" s="24" t="s">
        <v>1118</v>
      </c>
      <c r="B39" s="24" t="s">
        <v>1147</v>
      </c>
      <c r="C39" s="25" t="s">
        <v>1148</v>
      </c>
      <c r="D39" s="7" t="n">
        <v>7</v>
      </c>
      <c r="E39" s="7" t="n">
        <v>325</v>
      </c>
      <c r="F39" s="8" t="s">
        <v>426</v>
      </c>
      <c r="G39" s="8" t="s">
        <v>952</v>
      </c>
      <c r="H39" s="16" t="n">
        <f aca="false">INDEX(Scoring!$AO$5:$AO$87,MATCH($E39,Scoring!$A$5:$A$87,0))</f>
        <v>2</v>
      </c>
      <c r="I39" s="17" t="n">
        <f aca="false">INDEX(Scoring!$AP$5:$AP$87,MATCH($E39,Scoring!$A$5:$A$87,0))</f>
        <v>3.8</v>
      </c>
      <c r="J39" s="17" t="n">
        <f aca="false">INDEX(Scoring!$AQ$5:$AQ$87,MATCH($E39,Scoring!$A$5:$A$87,0))</f>
        <v>3.5</v>
      </c>
      <c r="K39" s="17" t="n">
        <f aca="false">INDEX(Scoring!$AR$5:$AR$87,MATCH($E39,Scoring!$A$5:$A$87,0))</f>
        <v>3.75</v>
      </c>
      <c r="L39" s="17" t="n">
        <f aca="false">INDEX(Scoring!$AS$5:$AS$87,MATCH($E39,Scoring!$A$5:$A$87,0))</f>
        <v>3.5</v>
      </c>
      <c r="M39" s="17" t="n">
        <f aca="false">INDEX(Scoring!$AT$5:$AT$87,MATCH($E39,Scoring!$A$5:$A$87,0))</f>
        <v>2.625</v>
      </c>
      <c r="N39" s="18" t="n">
        <f aca="false">INDEX(Scoring!$AU$5:$AU$87,MATCH($E39,Scoring!$A$5:$A$87,0))</f>
        <v>3.32083333333333</v>
      </c>
      <c r="O39" s="7" t="n">
        <f aca="false">INDEX(Scoring!$AN$5:$AN$87,MATCH($E39,Scoring!$A$5:$A$87,0))</f>
        <v>2</v>
      </c>
      <c r="P39" s="8" t="s">
        <v>1161</v>
      </c>
      <c r="Q39" s="8" t="s">
        <v>1162</v>
      </c>
      <c r="R39" s="8" t="s">
        <v>1084</v>
      </c>
      <c r="S39" s="23" t="s">
        <v>317</v>
      </c>
    </row>
    <row r="40" customFormat="false" ht="43.25" hidden="false" customHeight="false" outlineLevel="0" collapsed="false">
      <c r="A40" s="24" t="s">
        <v>1118</v>
      </c>
      <c r="B40" s="24" t="s">
        <v>1147</v>
      </c>
      <c r="C40" s="25" t="s">
        <v>1148</v>
      </c>
      <c r="D40" s="7" t="n">
        <v>8</v>
      </c>
      <c r="E40" s="7" t="n">
        <v>307</v>
      </c>
      <c r="F40" s="8" t="s">
        <v>678</v>
      </c>
      <c r="G40" s="8" t="s">
        <v>686</v>
      </c>
      <c r="H40" s="16" t="n">
        <f aca="false">INDEX(Scoring!$AO$5:$AO$87,MATCH($E40,Scoring!$A$5:$A$87,0))</f>
        <v>2</v>
      </c>
      <c r="I40" s="17" t="n">
        <f aca="false">INDEX(Scoring!$AP$5:$AP$87,MATCH($E40,Scoring!$A$5:$A$87,0))</f>
        <v>3.6</v>
      </c>
      <c r="J40" s="17" t="n">
        <f aca="false">INDEX(Scoring!$AQ$5:$AQ$87,MATCH($E40,Scoring!$A$5:$A$87,0))</f>
        <v>3.25</v>
      </c>
      <c r="K40" s="17" t="n">
        <f aca="false">INDEX(Scoring!$AR$5:$AR$87,MATCH($E40,Scoring!$A$5:$A$87,0))</f>
        <v>3.75</v>
      </c>
      <c r="L40" s="17" t="n">
        <f aca="false">INDEX(Scoring!$AS$5:$AS$87,MATCH($E40,Scoring!$A$5:$A$87,0))</f>
        <v>3.5</v>
      </c>
      <c r="M40" s="17" t="n">
        <f aca="false">INDEX(Scoring!$AT$5:$AT$87,MATCH($E40,Scoring!$A$5:$A$87,0))</f>
        <v>2.375</v>
      </c>
      <c r="N40" s="18" t="n">
        <f aca="false">INDEX(Scoring!$AU$5:$AU$87,MATCH($E40,Scoring!$A$5:$A$87,0))</f>
        <v>3.2875</v>
      </c>
      <c r="O40" s="7" t="n">
        <f aca="false">INDEX(Scoring!$AN$5:$AN$87,MATCH($E40,Scoring!$A$5:$A$87,0))</f>
        <v>2</v>
      </c>
      <c r="P40" s="8" t="s">
        <v>1163</v>
      </c>
      <c r="Q40" s="8" t="s">
        <v>1164</v>
      </c>
      <c r="R40" s="8" t="s">
        <v>1084</v>
      </c>
      <c r="S40" s="23" t="s">
        <v>317</v>
      </c>
    </row>
    <row r="41" customFormat="false" ht="43.25" hidden="false" customHeight="false" outlineLevel="0" collapsed="false">
      <c r="A41" s="24" t="s">
        <v>1118</v>
      </c>
      <c r="B41" s="24" t="s">
        <v>1147</v>
      </c>
      <c r="C41" s="25" t="s">
        <v>1148</v>
      </c>
      <c r="D41" s="7" t="n">
        <v>9</v>
      </c>
      <c r="E41" s="7" t="n">
        <v>346</v>
      </c>
      <c r="F41" s="8" t="s">
        <v>970</v>
      </c>
      <c r="G41" s="8" t="s">
        <v>971</v>
      </c>
      <c r="H41" s="16" t="n">
        <f aca="false">INDEX(Scoring!$AO$5:$AO$87,MATCH($E41,Scoring!$A$5:$A$87,0))</f>
        <v>3</v>
      </c>
      <c r="I41" s="17" t="n">
        <f aca="false">INDEX(Scoring!$AP$5:$AP$87,MATCH($E41,Scoring!$A$5:$A$87,0))</f>
        <v>3</v>
      </c>
      <c r="J41" s="17" t="n">
        <f aca="false">INDEX(Scoring!$AQ$5:$AQ$87,MATCH($E41,Scoring!$A$5:$A$87,0))</f>
        <v>3</v>
      </c>
      <c r="K41" s="17" t="n">
        <f aca="false">INDEX(Scoring!$AR$5:$AR$87,MATCH($E41,Scoring!$A$5:$A$87,0))</f>
        <v>3.25</v>
      </c>
      <c r="L41" s="17" t="n">
        <f aca="false">INDEX(Scoring!$AS$5:$AS$87,MATCH($E41,Scoring!$A$5:$A$87,0))</f>
        <v>3.5</v>
      </c>
      <c r="M41" s="17" t="n">
        <f aca="false">INDEX(Scoring!$AT$5:$AT$87,MATCH($E41,Scoring!$A$5:$A$87,0))</f>
        <v>2.25</v>
      </c>
      <c r="N41" s="18" t="n">
        <f aca="false">INDEX(Scoring!$AU$5:$AU$87,MATCH($E41,Scoring!$A$5:$A$87,0))</f>
        <v>3.25</v>
      </c>
      <c r="O41" s="7" t="n">
        <f aca="false">INDEX(Scoring!$AN$5:$AN$87,MATCH($E41,Scoring!$A$5:$A$87,0))</f>
        <v>1</v>
      </c>
      <c r="P41" s="8" t="s">
        <v>1165</v>
      </c>
      <c r="Q41" s="8" t="s">
        <v>1166</v>
      </c>
      <c r="R41" s="8" t="s">
        <v>1078</v>
      </c>
      <c r="S41" s="23" t="s">
        <v>317</v>
      </c>
    </row>
    <row r="42" customFormat="false" ht="43.25" hidden="false" customHeight="false" outlineLevel="0" collapsed="false">
      <c r="A42" s="24" t="s">
        <v>1118</v>
      </c>
      <c r="B42" s="24" t="s">
        <v>1147</v>
      </c>
      <c r="C42" s="25" t="s">
        <v>1148</v>
      </c>
      <c r="D42" s="7" t="n">
        <v>10</v>
      </c>
      <c r="E42" s="7" t="n">
        <v>339</v>
      </c>
      <c r="F42" s="8" t="s">
        <v>435</v>
      </c>
      <c r="G42" s="8" t="s">
        <v>436</v>
      </c>
      <c r="H42" s="16" t="n">
        <f aca="false">INDEX(Scoring!$AO$5:$AO$87,MATCH($E42,Scoring!$A$5:$A$87,0))</f>
        <v>3</v>
      </c>
      <c r="I42" s="17" t="n">
        <f aca="false">INDEX(Scoring!$AP$5:$AP$87,MATCH($E42,Scoring!$A$5:$A$87,0))</f>
        <v>3.2</v>
      </c>
      <c r="J42" s="17" t="n">
        <f aca="false">INDEX(Scoring!$AQ$5:$AQ$87,MATCH($E42,Scoring!$A$5:$A$87,0))</f>
        <v>2.75</v>
      </c>
      <c r="K42" s="17" t="n">
        <f aca="false">INDEX(Scoring!$AR$5:$AR$87,MATCH($E42,Scoring!$A$5:$A$87,0))</f>
        <v>3.5</v>
      </c>
      <c r="L42" s="17" t="n">
        <f aca="false">INDEX(Scoring!$AS$5:$AS$87,MATCH($E42,Scoring!$A$5:$A$87,0))</f>
        <v>3.5</v>
      </c>
      <c r="M42" s="17" t="n">
        <f aca="false">INDEX(Scoring!$AT$5:$AT$87,MATCH($E42,Scoring!$A$5:$A$87,0))</f>
        <v>2.5</v>
      </c>
      <c r="N42" s="18" t="n">
        <f aca="false">INDEX(Scoring!$AU$5:$AU$87,MATCH($E42,Scoring!$A$5:$A$87,0))</f>
        <v>3.24166666666667</v>
      </c>
      <c r="O42" s="7" t="n">
        <f aca="false">INDEX(Scoring!$AN$5:$AN$87,MATCH($E42,Scoring!$A$5:$A$87,0))</f>
        <v>2</v>
      </c>
      <c r="P42" s="8" t="s">
        <v>1167</v>
      </c>
      <c r="Q42" s="8" t="s">
        <v>1168</v>
      </c>
      <c r="R42" s="8" t="s">
        <v>1078</v>
      </c>
      <c r="S42" s="23" t="s">
        <v>317</v>
      </c>
    </row>
    <row r="43" customFormat="false" ht="43.25" hidden="false" customHeight="false" outlineLevel="0" collapsed="false">
      <c r="A43" s="24" t="s">
        <v>1118</v>
      </c>
      <c r="B43" s="24" t="s">
        <v>1147</v>
      </c>
      <c r="C43" s="25" t="s">
        <v>1148</v>
      </c>
      <c r="D43" s="7" t="n">
        <v>11</v>
      </c>
      <c r="E43" s="7" t="n">
        <v>317</v>
      </c>
      <c r="F43" s="8" t="s">
        <v>426</v>
      </c>
      <c r="G43" s="8" t="s">
        <v>707</v>
      </c>
      <c r="H43" s="16" t="n">
        <f aca="false">INDEX(Scoring!$AO$5:$AO$87,MATCH($E43,Scoring!$A$5:$A$87,0))</f>
        <v>2</v>
      </c>
      <c r="I43" s="17" t="n">
        <f aca="false">INDEX(Scoring!$AP$5:$AP$87,MATCH($E43,Scoring!$A$5:$A$87,0))</f>
        <v>4</v>
      </c>
      <c r="J43" s="17" t="n">
        <f aca="false">INDEX(Scoring!$AQ$5:$AQ$87,MATCH($E43,Scoring!$A$5:$A$87,0))</f>
        <v>3.25</v>
      </c>
      <c r="K43" s="17" t="n">
        <f aca="false">INDEX(Scoring!$AR$5:$AR$87,MATCH($E43,Scoring!$A$5:$A$87,0))</f>
        <v>3.5</v>
      </c>
      <c r="L43" s="17" t="n">
        <f aca="false">INDEX(Scoring!$AS$5:$AS$87,MATCH($E43,Scoring!$A$5:$A$87,0))</f>
        <v>3.5</v>
      </c>
      <c r="M43" s="17" t="n">
        <f aca="false">INDEX(Scoring!$AT$5:$AT$87,MATCH($E43,Scoring!$A$5:$A$87,0))</f>
        <v>2.875</v>
      </c>
      <c r="N43" s="18" t="n">
        <f aca="false">INDEX(Scoring!$AU$5:$AU$87,MATCH($E43,Scoring!$A$5:$A$87,0))</f>
        <v>3.22916666666667</v>
      </c>
      <c r="O43" s="7" t="n">
        <f aca="false">INDEX(Scoring!$AN$5:$AN$87,MATCH($E43,Scoring!$A$5:$A$87,0))</f>
        <v>2</v>
      </c>
      <c r="P43" s="8" t="s">
        <v>1169</v>
      </c>
      <c r="Q43" s="8" t="s">
        <v>1170</v>
      </c>
      <c r="R43" s="8" t="s">
        <v>1084</v>
      </c>
      <c r="S43" s="23" t="s">
        <v>317</v>
      </c>
    </row>
    <row r="44" customFormat="false" ht="32.8" hidden="false" customHeight="false" outlineLevel="0" collapsed="false">
      <c r="A44" s="24" t="s">
        <v>1118</v>
      </c>
      <c r="B44" s="24" t="s">
        <v>1147</v>
      </c>
      <c r="C44" s="25" t="s">
        <v>1148</v>
      </c>
      <c r="D44" s="7" t="n">
        <v>12</v>
      </c>
      <c r="E44" s="7" t="n">
        <v>292</v>
      </c>
      <c r="F44" s="8" t="s">
        <v>331</v>
      </c>
      <c r="G44" s="8" t="s">
        <v>332</v>
      </c>
      <c r="H44" s="16" t="n">
        <f aca="false">INDEX(Scoring!$AO$5:$AO$87,MATCH($E44,Scoring!$A$5:$A$87,0))</f>
        <v>2</v>
      </c>
      <c r="I44" s="17" t="n">
        <f aca="false">INDEX(Scoring!$AP$5:$AP$87,MATCH($E44,Scoring!$A$5:$A$87,0))</f>
        <v>3.4</v>
      </c>
      <c r="J44" s="17" t="n">
        <f aca="false">INDEX(Scoring!$AQ$5:$AQ$87,MATCH($E44,Scoring!$A$5:$A$87,0))</f>
        <v>3.25</v>
      </c>
      <c r="K44" s="17" t="n">
        <f aca="false">INDEX(Scoring!$AR$5:$AR$87,MATCH($E44,Scoring!$A$5:$A$87,0))</f>
        <v>3.25</v>
      </c>
      <c r="L44" s="17" t="n">
        <f aca="false">INDEX(Scoring!$AS$5:$AS$87,MATCH($E44,Scoring!$A$5:$A$87,0))</f>
        <v>3.75</v>
      </c>
      <c r="M44" s="17" t="n">
        <f aca="false">INDEX(Scoring!$AT$5:$AT$87,MATCH($E44,Scoring!$A$5:$A$87,0))</f>
        <v>2.375</v>
      </c>
      <c r="N44" s="18" t="n">
        <f aca="false">INDEX(Scoring!$AU$5:$AU$87,MATCH($E44,Scoring!$A$5:$A$87,0))</f>
        <v>3.2125</v>
      </c>
      <c r="O44" s="7" t="n">
        <f aca="false">INDEX(Scoring!$AN$5:$AN$87,MATCH($E44,Scoring!$A$5:$A$87,0))</f>
        <v>4</v>
      </c>
      <c r="P44" s="8" t="s">
        <v>1171</v>
      </c>
      <c r="Q44" s="8" t="s">
        <v>1172</v>
      </c>
      <c r="R44" s="8" t="s">
        <v>1078</v>
      </c>
      <c r="S44" s="23" t="s">
        <v>317</v>
      </c>
    </row>
    <row r="45" customFormat="false" ht="53.7" hidden="false" customHeight="false" outlineLevel="0" collapsed="false">
      <c r="A45" s="24" t="s">
        <v>1118</v>
      </c>
      <c r="B45" s="24" t="s">
        <v>1147</v>
      </c>
      <c r="C45" s="25" t="s">
        <v>1148</v>
      </c>
      <c r="D45" s="7" t="n">
        <v>13</v>
      </c>
      <c r="E45" s="7" t="n">
        <v>323</v>
      </c>
      <c r="F45" s="8" t="s">
        <v>426</v>
      </c>
      <c r="G45" s="8" t="s">
        <v>876</v>
      </c>
      <c r="H45" s="16" t="n">
        <f aca="false">INDEX(Scoring!$AO$5:$AO$87,MATCH($E45,Scoring!$A$5:$A$87,0))</f>
        <v>2</v>
      </c>
      <c r="I45" s="17" t="n">
        <f aca="false">INDEX(Scoring!$AP$5:$AP$87,MATCH($E45,Scoring!$A$5:$A$87,0))</f>
        <v>3.6</v>
      </c>
      <c r="J45" s="17" t="n">
        <f aca="false">INDEX(Scoring!$AQ$5:$AQ$87,MATCH($E45,Scoring!$A$5:$A$87,0))</f>
        <v>3.25</v>
      </c>
      <c r="K45" s="17" t="n">
        <f aca="false">INDEX(Scoring!$AR$5:$AR$87,MATCH($E45,Scoring!$A$5:$A$87,0))</f>
        <v>3.5</v>
      </c>
      <c r="L45" s="17" t="n">
        <f aca="false">INDEX(Scoring!$AS$5:$AS$87,MATCH($E45,Scoring!$A$5:$A$87,0))</f>
        <v>3.5</v>
      </c>
      <c r="M45" s="17" t="n">
        <f aca="false">INDEX(Scoring!$AT$5:$AT$87,MATCH($E45,Scoring!$A$5:$A$87,0))</f>
        <v>2.625</v>
      </c>
      <c r="N45" s="18" t="n">
        <f aca="false">INDEX(Scoring!$AU$5:$AU$87,MATCH($E45,Scoring!$A$5:$A$87,0))</f>
        <v>3.20416666666667</v>
      </c>
      <c r="O45" s="7" t="n">
        <f aca="false">INDEX(Scoring!$AN$5:$AN$87,MATCH($E45,Scoring!$A$5:$A$87,0))</f>
        <v>1</v>
      </c>
      <c r="P45" s="8" t="s">
        <v>1173</v>
      </c>
      <c r="Q45" s="8" t="s">
        <v>1174</v>
      </c>
      <c r="R45" s="8" t="s">
        <v>1084</v>
      </c>
      <c r="S45" s="23" t="s">
        <v>317</v>
      </c>
    </row>
    <row r="46" customFormat="false" ht="43.25" hidden="false" customHeight="false" outlineLevel="0" collapsed="false">
      <c r="A46" s="24" t="s">
        <v>1118</v>
      </c>
      <c r="B46" s="24" t="s">
        <v>1147</v>
      </c>
      <c r="C46" s="25" t="s">
        <v>1148</v>
      </c>
      <c r="D46" s="7" t="n">
        <v>14</v>
      </c>
      <c r="E46" s="7" t="n">
        <v>295</v>
      </c>
      <c r="F46" s="8" t="s">
        <v>601</v>
      </c>
      <c r="G46" s="8" t="s">
        <v>610</v>
      </c>
      <c r="H46" s="16" t="n">
        <f aca="false">INDEX(Scoring!$AO$5:$AO$87,MATCH($E46,Scoring!$A$5:$A$87,0))</f>
        <v>3</v>
      </c>
      <c r="I46" s="17" t="n">
        <f aca="false">INDEX(Scoring!$AP$5:$AP$87,MATCH($E46,Scoring!$A$5:$A$87,0))</f>
        <v>3</v>
      </c>
      <c r="J46" s="17" t="n">
        <f aca="false">INDEX(Scoring!$AQ$5:$AQ$87,MATCH($E46,Scoring!$A$5:$A$87,0))</f>
        <v>3</v>
      </c>
      <c r="K46" s="17" t="n">
        <f aca="false">INDEX(Scoring!$AR$5:$AR$87,MATCH($E46,Scoring!$A$5:$A$87,0))</f>
        <v>3.5</v>
      </c>
      <c r="L46" s="17" t="n">
        <f aca="false">INDEX(Scoring!$AS$5:$AS$87,MATCH($E46,Scoring!$A$5:$A$87,0))</f>
        <v>3.75</v>
      </c>
      <c r="M46" s="17" t="n">
        <f aca="false">INDEX(Scoring!$AT$5:$AT$87,MATCH($E46,Scoring!$A$5:$A$87,0))</f>
        <v>3.25</v>
      </c>
      <c r="N46" s="18" t="n">
        <f aca="false">INDEX(Scoring!$AU$5:$AU$87,MATCH($E46,Scoring!$A$5:$A$87,0))</f>
        <v>3.16666666666667</v>
      </c>
      <c r="O46" s="7" t="n">
        <f aca="false">INDEX(Scoring!$AN$5:$AN$87,MATCH($E46,Scoring!$A$5:$A$87,0))</f>
        <v>3</v>
      </c>
      <c r="P46" s="8" t="s">
        <v>1175</v>
      </c>
      <c r="Q46" s="8" t="s">
        <v>1176</v>
      </c>
      <c r="R46" s="8" t="s">
        <v>1078</v>
      </c>
      <c r="S46" s="23" t="s">
        <v>317</v>
      </c>
    </row>
    <row r="47" customFormat="false" ht="32.8" hidden="false" customHeight="false" outlineLevel="0" collapsed="false">
      <c r="A47" s="24" t="s">
        <v>1118</v>
      </c>
      <c r="B47" s="24" t="s">
        <v>1147</v>
      </c>
      <c r="C47" s="25" t="s">
        <v>1148</v>
      </c>
      <c r="D47" s="7" t="n">
        <v>15</v>
      </c>
      <c r="E47" s="7" t="n">
        <v>319</v>
      </c>
      <c r="F47" s="8" t="s">
        <v>426</v>
      </c>
      <c r="G47" s="8" t="s">
        <v>931</v>
      </c>
      <c r="H47" s="16" t="n">
        <f aca="false">INDEX(Scoring!$AO$5:$AO$87,MATCH($E47,Scoring!$A$5:$A$87,0))</f>
        <v>1</v>
      </c>
      <c r="I47" s="17" t="n">
        <f aca="false">INDEX(Scoring!$AP$5:$AP$87,MATCH($E47,Scoring!$A$5:$A$87,0))</f>
        <v>3.6</v>
      </c>
      <c r="J47" s="17" t="n">
        <f aca="false">INDEX(Scoring!$AQ$5:$AQ$87,MATCH($E47,Scoring!$A$5:$A$87,0))</f>
        <v>3.25</v>
      </c>
      <c r="K47" s="17" t="n">
        <f aca="false">INDEX(Scoring!$AR$5:$AR$87,MATCH($E47,Scoring!$A$5:$A$87,0))</f>
        <v>3.25</v>
      </c>
      <c r="L47" s="17" t="n">
        <f aca="false">INDEX(Scoring!$AS$5:$AS$87,MATCH($E47,Scoring!$A$5:$A$87,0))</f>
        <v>3.5</v>
      </c>
      <c r="M47" s="17" t="n">
        <f aca="false">INDEX(Scoring!$AT$5:$AT$87,MATCH($E47,Scoring!$A$5:$A$87,0))</f>
        <v>2</v>
      </c>
      <c r="N47" s="18" t="n">
        <f aca="false">INDEX(Scoring!$AU$5:$AU$87,MATCH($E47,Scoring!$A$5:$A$87,0))</f>
        <v>3.1</v>
      </c>
      <c r="O47" s="7" t="n">
        <f aca="false">INDEX(Scoring!$AN$5:$AN$87,MATCH($E47,Scoring!$A$5:$A$87,0))</f>
        <v>1</v>
      </c>
      <c r="P47" s="8" t="s">
        <v>1177</v>
      </c>
      <c r="Q47" s="8" t="s">
        <v>1178</v>
      </c>
      <c r="R47" s="8" t="s">
        <v>1084</v>
      </c>
      <c r="S47" s="23" t="s">
        <v>317</v>
      </c>
    </row>
    <row r="48" customFormat="false" ht="43.25" hidden="false" customHeight="false" outlineLevel="0" collapsed="false">
      <c r="A48" s="24" t="s">
        <v>1118</v>
      </c>
      <c r="B48" s="24" t="s">
        <v>1147</v>
      </c>
      <c r="C48" s="25" t="s">
        <v>1148</v>
      </c>
      <c r="D48" s="7" t="n">
        <v>16</v>
      </c>
      <c r="E48" s="7" t="n">
        <v>318</v>
      </c>
      <c r="F48" s="8" t="s">
        <v>714</v>
      </c>
      <c r="G48" s="8" t="s">
        <v>715</v>
      </c>
      <c r="H48" s="16" t="n">
        <f aca="false">INDEX(Scoring!$AO$5:$AO$87,MATCH($E48,Scoring!$A$5:$A$87,0))</f>
        <v>2</v>
      </c>
      <c r="I48" s="17" t="n">
        <f aca="false">INDEX(Scoring!$AP$5:$AP$87,MATCH($E48,Scoring!$A$5:$A$87,0))</f>
        <v>3.6</v>
      </c>
      <c r="J48" s="17" t="n">
        <f aca="false">INDEX(Scoring!$AQ$5:$AQ$87,MATCH($E48,Scoring!$A$5:$A$87,0))</f>
        <v>2.75</v>
      </c>
      <c r="K48" s="17" t="n">
        <f aca="false">INDEX(Scoring!$AR$5:$AR$87,MATCH($E48,Scoring!$A$5:$A$87,0))</f>
        <v>3.25</v>
      </c>
      <c r="L48" s="17" t="n">
        <f aca="false">INDEX(Scoring!$AS$5:$AS$87,MATCH($E48,Scoring!$A$5:$A$87,0))</f>
        <v>3.5</v>
      </c>
      <c r="M48" s="17" t="n">
        <f aca="false">INDEX(Scoring!$AT$5:$AT$87,MATCH($E48,Scoring!$A$5:$A$87,0))</f>
        <v>2.625</v>
      </c>
      <c r="N48" s="18" t="n">
        <f aca="false">INDEX(Scoring!$AU$5:$AU$87,MATCH($E48,Scoring!$A$5:$A$87,0))</f>
        <v>3.07916666666667</v>
      </c>
      <c r="O48" s="7" t="n">
        <f aca="false">INDEX(Scoring!$AN$5:$AN$87,MATCH($E48,Scoring!$A$5:$A$87,0))</f>
        <v>2</v>
      </c>
      <c r="P48" s="8" t="s">
        <v>1179</v>
      </c>
      <c r="Q48" s="8" t="s">
        <v>1180</v>
      </c>
      <c r="R48" s="8" t="s">
        <v>1078</v>
      </c>
      <c r="S48" s="23" t="s">
        <v>317</v>
      </c>
    </row>
    <row r="49" customFormat="false" ht="43.25" hidden="false" customHeight="false" outlineLevel="0" collapsed="false">
      <c r="A49" s="24" t="s">
        <v>1118</v>
      </c>
      <c r="B49" s="24" t="s">
        <v>1147</v>
      </c>
      <c r="C49" s="25" t="s">
        <v>1148</v>
      </c>
      <c r="D49" s="7" t="n">
        <v>17</v>
      </c>
      <c r="E49" s="7" t="n">
        <v>313</v>
      </c>
      <c r="F49" s="8" t="s">
        <v>751</v>
      </c>
      <c r="G49" s="8" t="s">
        <v>752</v>
      </c>
      <c r="H49" s="16" t="n">
        <f aca="false">INDEX(Scoring!$AO$5:$AO$87,MATCH($E49,Scoring!$A$5:$A$87,0))</f>
        <v>1</v>
      </c>
      <c r="I49" s="17" t="n">
        <f aca="false">INDEX(Scoring!$AP$5:$AP$87,MATCH($E49,Scoring!$A$5:$A$87,0))</f>
        <v>3.6</v>
      </c>
      <c r="J49" s="17" t="n">
        <f aca="false">INDEX(Scoring!$AQ$5:$AQ$87,MATCH($E49,Scoring!$A$5:$A$87,0))</f>
        <v>3.5</v>
      </c>
      <c r="K49" s="17" t="n">
        <f aca="false">INDEX(Scoring!$AR$5:$AR$87,MATCH($E49,Scoring!$A$5:$A$87,0))</f>
        <v>3.25</v>
      </c>
      <c r="L49" s="17" t="n">
        <f aca="false">INDEX(Scoring!$AS$5:$AS$87,MATCH($E49,Scoring!$A$5:$A$87,0))</f>
        <v>3.5</v>
      </c>
      <c r="M49" s="17" t="n">
        <f aca="false">INDEX(Scoring!$AT$5:$AT$87,MATCH($E49,Scoring!$A$5:$A$87,0))</f>
        <v>2.375</v>
      </c>
      <c r="N49" s="18" t="n">
        <f aca="false">INDEX(Scoring!$AU$5:$AU$87,MATCH($E49,Scoring!$A$5:$A$87,0))</f>
        <v>3.07916666666667</v>
      </c>
      <c r="O49" s="7" t="n">
        <f aca="false">INDEX(Scoring!$AN$5:$AN$87,MATCH($E49,Scoring!$A$5:$A$87,0))</f>
        <v>3</v>
      </c>
      <c r="P49" s="8" t="s">
        <v>1181</v>
      </c>
      <c r="Q49" s="8" t="s">
        <v>1182</v>
      </c>
      <c r="R49" s="8" t="s">
        <v>1078</v>
      </c>
      <c r="S49" s="23" t="s">
        <v>317</v>
      </c>
    </row>
    <row r="50" customFormat="false" ht="32.8" hidden="false" customHeight="false" outlineLevel="0" collapsed="false">
      <c r="A50" s="26" t="s">
        <v>1183</v>
      </c>
      <c r="B50" s="26" t="s">
        <v>1184</v>
      </c>
      <c r="C50" s="27" t="s">
        <v>1185</v>
      </c>
      <c r="D50" s="7" t="n">
        <v>1</v>
      </c>
      <c r="E50" s="7" t="n">
        <v>320</v>
      </c>
      <c r="F50" s="8" t="s">
        <v>426</v>
      </c>
      <c r="G50" s="8" t="s">
        <v>937</v>
      </c>
      <c r="H50" s="16" t="n">
        <f aca="false">INDEX(Scoring!$AO$5:$AO$87,MATCH($E50,Scoring!$A$5:$A$87,0))</f>
        <v>2</v>
      </c>
      <c r="I50" s="17" t="n">
        <f aca="false">INDEX(Scoring!$AP$5:$AP$87,MATCH($E50,Scoring!$A$5:$A$87,0))</f>
        <v>3.8</v>
      </c>
      <c r="J50" s="17" t="n">
        <f aca="false">INDEX(Scoring!$AQ$5:$AQ$87,MATCH($E50,Scoring!$A$5:$A$87,0))</f>
        <v>3.25</v>
      </c>
      <c r="K50" s="17" t="n">
        <f aca="false">INDEX(Scoring!$AR$5:$AR$87,MATCH($E50,Scoring!$A$5:$A$87,0))</f>
        <v>3.25</v>
      </c>
      <c r="L50" s="17" t="n">
        <f aca="false">INDEX(Scoring!$AS$5:$AS$87,MATCH($E50,Scoring!$A$5:$A$87,0))</f>
        <v>3.25</v>
      </c>
      <c r="M50" s="17" t="n">
        <f aca="false">INDEX(Scoring!$AT$5:$AT$87,MATCH($E50,Scoring!$A$5:$A$87,0))</f>
        <v>2</v>
      </c>
      <c r="N50" s="18" t="n">
        <f aca="false">INDEX(Scoring!$AU$5:$AU$87,MATCH($E50,Scoring!$A$5:$A$87,0))</f>
        <v>3.25833333333333</v>
      </c>
      <c r="O50" s="7" t="n">
        <f aca="false">INDEX(Scoring!$AN$5:$AN$87,MATCH($E50,Scoring!$A$5:$A$87,0))</f>
        <v>1</v>
      </c>
      <c r="P50" s="8" t="s">
        <v>1186</v>
      </c>
      <c r="Q50" s="8" t="s">
        <v>1187</v>
      </c>
      <c r="R50" s="8" t="s">
        <v>1084</v>
      </c>
      <c r="S50" s="23" t="s">
        <v>317</v>
      </c>
    </row>
    <row r="51" customFormat="false" ht="43.25" hidden="false" customHeight="false" outlineLevel="0" collapsed="false">
      <c r="A51" s="26" t="s">
        <v>1183</v>
      </c>
      <c r="B51" s="26" t="s">
        <v>1184</v>
      </c>
      <c r="C51" s="27" t="s">
        <v>1185</v>
      </c>
      <c r="D51" s="7" t="n">
        <v>2</v>
      </c>
      <c r="E51" s="7" t="n">
        <v>331</v>
      </c>
      <c r="F51" s="8" t="s">
        <v>426</v>
      </c>
      <c r="G51" s="8" t="s">
        <v>1188</v>
      </c>
      <c r="H51" s="16" t="n">
        <f aca="false">INDEX(Scoring!$AO$5:$AO$87,MATCH($E51,Scoring!$A$5:$A$87,0))</f>
        <v>2</v>
      </c>
      <c r="I51" s="17" t="n">
        <f aca="false">INDEX(Scoring!$AP$5:$AP$87,MATCH($E51,Scoring!$A$5:$A$87,0))</f>
        <v>3.6</v>
      </c>
      <c r="J51" s="17" t="n">
        <f aca="false">INDEX(Scoring!$AQ$5:$AQ$87,MATCH($E51,Scoring!$A$5:$A$87,0))</f>
        <v>3.25</v>
      </c>
      <c r="K51" s="17" t="n">
        <f aca="false">INDEX(Scoring!$AR$5:$AR$87,MATCH($E51,Scoring!$A$5:$A$87,0))</f>
        <v>3.75</v>
      </c>
      <c r="L51" s="17" t="n">
        <f aca="false">INDEX(Scoring!$AS$5:$AS$87,MATCH($E51,Scoring!$A$5:$A$87,0))</f>
        <v>3</v>
      </c>
      <c r="M51" s="17" t="n">
        <f aca="false">INDEX(Scoring!$AT$5:$AT$87,MATCH($E51,Scoring!$A$5:$A$87,0))</f>
        <v>2.125</v>
      </c>
      <c r="N51" s="18" t="n">
        <f aca="false">INDEX(Scoring!$AU$5:$AU$87,MATCH($E51,Scoring!$A$5:$A$87,0))</f>
        <v>3.24583333333333</v>
      </c>
      <c r="O51" s="7" t="n">
        <f aca="false">INDEX(Scoring!$AN$5:$AN$87,MATCH($E51,Scoring!$A$5:$A$87,0))</f>
        <v>2</v>
      </c>
      <c r="P51" s="8" t="s">
        <v>1189</v>
      </c>
      <c r="Q51" s="8" t="s">
        <v>1190</v>
      </c>
      <c r="R51" s="8" t="s">
        <v>1084</v>
      </c>
      <c r="S51" s="23" t="s">
        <v>317</v>
      </c>
    </row>
    <row r="52" customFormat="false" ht="43.25" hidden="false" customHeight="false" outlineLevel="0" collapsed="false">
      <c r="A52" s="26" t="s">
        <v>1183</v>
      </c>
      <c r="B52" s="26" t="s">
        <v>1184</v>
      </c>
      <c r="C52" s="27" t="s">
        <v>1185</v>
      </c>
      <c r="D52" s="7" t="n">
        <v>3</v>
      </c>
      <c r="E52" s="7" t="n">
        <v>306</v>
      </c>
      <c r="F52" s="8" t="s">
        <v>678</v>
      </c>
      <c r="G52" s="8" t="s">
        <v>679</v>
      </c>
      <c r="H52" s="16" t="n">
        <f aca="false">INDEX(Scoring!$AO$5:$AO$87,MATCH($E52,Scoring!$A$5:$A$87,0))</f>
        <v>2</v>
      </c>
      <c r="I52" s="17" t="n">
        <f aca="false">INDEX(Scoring!$AP$5:$AP$87,MATCH($E52,Scoring!$A$5:$A$87,0))</f>
        <v>3.6</v>
      </c>
      <c r="J52" s="17" t="n">
        <f aca="false">INDEX(Scoring!$AQ$5:$AQ$87,MATCH($E52,Scoring!$A$5:$A$87,0))</f>
        <v>3</v>
      </c>
      <c r="K52" s="17" t="n">
        <f aca="false">INDEX(Scoring!$AR$5:$AR$87,MATCH($E52,Scoring!$A$5:$A$87,0))</f>
        <v>3.5</v>
      </c>
      <c r="L52" s="17" t="n">
        <f aca="false">INDEX(Scoring!$AS$5:$AS$87,MATCH($E52,Scoring!$A$5:$A$87,0))</f>
        <v>3.25</v>
      </c>
      <c r="M52" s="17" t="n">
        <f aca="false">INDEX(Scoring!$AT$5:$AT$87,MATCH($E52,Scoring!$A$5:$A$87,0))</f>
        <v>2.25</v>
      </c>
      <c r="N52" s="18" t="n">
        <f aca="false">INDEX(Scoring!$AU$5:$AU$87,MATCH($E52,Scoring!$A$5:$A$87,0))</f>
        <v>3.18333333333333</v>
      </c>
      <c r="O52" s="7" t="n">
        <f aca="false">INDEX(Scoring!$AN$5:$AN$87,MATCH($E52,Scoring!$A$5:$A$87,0))</f>
        <v>3</v>
      </c>
      <c r="P52" s="8" t="s">
        <v>1191</v>
      </c>
      <c r="Q52" s="8" t="s">
        <v>1192</v>
      </c>
      <c r="R52" s="8" t="s">
        <v>1084</v>
      </c>
      <c r="S52" s="23" t="s">
        <v>317</v>
      </c>
    </row>
    <row r="53" customFormat="false" ht="32.8" hidden="false" customHeight="false" outlineLevel="0" collapsed="false">
      <c r="A53" s="26" t="s">
        <v>1183</v>
      </c>
      <c r="B53" s="26" t="s">
        <v>1184</v>
      </c>
      <c r="C53" s="27" t="s">
        <v>1185</v>
      </c>
      <c r="D53" s="7" t="n">
        <v>4</v>
      </c>
      <c r="E53" s="7" t="n">
        <v>311</v>
      </c>
      <c r="F53" s="8" t="s">
        <v>692</v>
      </c>
      <c r="G53" s="8" t="s">
        <v>693</v>
      </c>
      <c r="H53" s="16" t="n">
        <f aca="false">INDEX(Scoring!$AO$5:$AO$87,MATCH($E53,Scoring!$A$5:$A$87,0))</f>
        <v>2</v>
      </c>
      <c r="I53" s="17" t="n">
        <f aca="false">INDEX(Scoring!$AP$5:$AP$87,MATCH($E53,Scoring!$A$5:$A$87,0))</f>
        <v>3.6</v>
      </c>
      <c r="J53" s="17" t="n">
        <f aca="false">INDEX(Scoring!$AQ$5:$AQ$87,MATCH($E53,Scoring!$A$5:$A$87,0))</f>
        <v>3.25</v>
      </c>
      <c r="K53" s="17" t="n">
        <f aca="false">INDEX(Scoring!$AR$5:$AR$87,MATCH($E53,Scoring!$A$5:$A$87,0))</f>
        <v>3.75</v>
      </c>
      <c r="L53" s="17" t="n">
        <f aca="false">INDEX(Scoring!$AS$5:$AS$87,MATCH($E53,Scoring!$A$5:$A$87,0))</f>
        <v>2.75</v>
      </c>
      <c r="M53" s="17" t="n">
        <f aca="false">INDEX(Scoring!$AT$5:$AT$87,MATCH($E53,Scoring!$A$5:$A$87,0))</f>
        <v>2.375</v>
      </c>
      <c r="N53" s="18" t="n">
        <f aca="false">INDEX(Scoring!$AU$5:$AU$87,MATCH($E53,Scoring!$A$5:$A$87,0))</f>
        <v>3.1625</v>
      </c>
      <c r="O53" s="7" t="n">
        <f aca="false">INDEX(Scoring!$AN$5:$AN$87,MATCH($E53,Scoring!$A$5:$A$87,0))</f>
        <v>3</v>
      </c>
      <c r="P53" s="8" t="s">
        <v>1193</v>
      </c>
      <c r="Q53" s="8" t="s">
        <v>1190</v>
      </c>
      <c r="R53" s="8" t="s">
        <v>1084</v>
      </c>
      <c r="S53" s="23" t="s">
        <v>317</v>
      </c>
    </row>
    <row r="54" customFormat="false" ht="32.8" hidden="false" customHeight="false" outlineLevel="0" collapsed="false">
      <c r="A54" s="26" t="s">
        <v>1183</v>
      </c>
      <c r="B54" s="26" t="s">
        <v>1184</v>
      </c>
      <c r="C54" s="27" t="s">
        <v>1185</v>
      </c>
      <c r="D54" s="7" t="n">
        <v>5</v>
      </c>
      <c r="E54" s="7" t="n">
        <v>329</v>
      </c>
      <c r="F54" s="8" t="s">
        <v>426</v>
      </c>
      <c r="G54" s="8" t="s">
        <v>967</v>
      </c>
      <c r="H54" s="16" t="n">
        <f aca="false">INDEX(Scoring!$AO$5:$AO$87,MATCH($E54,Scoring!$A$5:$A$87,0))</f>
        <v>2</v>
      </c>
      <c r="I54" s="17" t="n">
        <f aca="false">INDEX(Scoring!$AP$5:$AP$87,MATCH($E54,Scoring!$A$5:$A$87,0))</f>
        <v>3.6</v>
      </c>
      <c r="J54" s="17" t="n">
        <f aca="false">INDEX(Scoring!$AQ$5:$AQ$87,MATCH($E54,Scoring!$A$5:$A$87,0))</f>
        <v>3.25</v>
      </c>
      <c r="K54" s="17" t="n">
        <f aca="false">INDEX(Scoring!$AR$5:$AR$87,MATCH($E54,Scoring!$A$5:$A$87,0))</f>
        <v>3.5</v>
      </c>
      <c r="L54" s="17" t="n">
        <f aca="false">INDEX(Scoring!$AS$5:$AS$87,MATCH($E54,Scoring!$A$5:$A$87,0))</f>
        <v>3.25</v>
      </c>
      <c r="M54" s="17" t="n">
        <f aca="false">INDEX(Scoring!$AT$5:$AT$87,MATCH($E54,Scoring!$A$5:$A$87,0))</f>
        <v>2.625</v>
      </c>
      <c r="N54" s="18" t="n">
        <f aca="false">INDEX(Scoring!$AU$5:$AU$87,MATCH($E54,Scoring!$A$5:$A$87,0))</f>
        <v>3.1625</v>
      </c>
      <c r="O54" s="7" t="n">
        <f aca="false">INDEX(Scoring!$AN$5:$AN$87,MATCH($E54,Scoring!$A$5:$A$87,0))</f>
        <v>1</v>
      </c>
      <c r="P54" s="8" t="s">
        <v>1194</v>
      </c>
      <c r="Q54" s="8" t="s">
        <v>1187</v>
      </c>
      <c r="R54" s="8" t="s">
        <v>1084</v>
      </c>
      <c r="S54" s="23" t="s">
        <v>317</v>
      </c>
    </row>
    <row r="55" customFormat="false" ht="43.25" hidden="false" customHeight="false" outlineLevel="0" collapsed="false">
      <c r="A55" s="26" t="s">
        <v>1183</v>
      </c>
      <c r="B55" s="26" t="s">
        <v>1184</v>
      </c>
      <c r="C55" s="27" t="s">
        <v>1185</v>
      </c>
      <c r="D55" s="7" t="n">
        <v>6</v>
      </c>
      <c r="E55" s="7" t="n">
        <v>344</v>
      </c>
      <c r="F55" s="8" t="s">
        <v>435</v>
      </c>
      <c r="G55" s="8" t="s">
        <v>450</v>
      </c>
      <c r="H55" s="16" t="n">
        <f aca="false">INDEX(Scoring!$AO$5:$AO$87,MATCH($E55,Scoring!$A$5:$A$87,0))</f>
        <v>2</v>
      </c>
      <c r="I55" s="17" t="n">
        <f aca="false">INDEX(Scoring!$AP$5:$AP$87,MATCH($E55,Scoring!$A$5:$A$87,0))</f>
        <v>3</v>
      </c>
      <c r="J55" s="17" t="n">
        <f aca="false">INDEX(Scoring!$AQ$5:$AQ$87,MATCH($E55,Scoring!$A$5:$A$87,0))</f>
        <v>2.75</v>
      </c>
      <c r="K55" s="17" t="n">
        <f aca="false">INDEX(Scoring!$AR$5:$AR$87,MATCH($E55,Scoring!$A$5:$A$87,0))</f>
        <v>4</v>
      </c>
      <c r="L55" s="17" t="n">
        <f aca="false">INDEX(Scoring!$AS$5:$AS$87,MATCH($E55,Scoring!$A$5:$A$87,0))</f>
        <v>2.75</v>
      </c>
      <c r="M55" s="17" t="n">
        <f aca="false">INDEX(Scoring!$AT$5:$AT$87,MATCH($E55,Scoring!$A$5:$A$87,0))</f>
        <v>2</v>
      </c>
      <c r="N55" s="18" t="n">
        <f aca="false">INDEX(Scoring!$AU$5:$AU$87,MATCH($E55,Scoring!$A$5:$A$87,0))</f>
        <v>3.08333333333333</v>
      </c>
      <c r="O55" s="7" t="n">
        <f aca="false">INDEX(Scoring!$AN$5:$AN$87,MATCH($E55,Scoring!$A$5:$A$87,0))</f>
        <v>2</v>
      </c>
      <c r="P55" s="8" t="s">
        <v>1195</v>
      </c>
      <c r="Q55" s="8" t="s">
        <v>1190</v>
      </c>
      <c r="R55" s="8" t="s">
        <v>1078</v>
      </c>
      <c r="S55" s="23" t="s">
        <v>317</v>
      </c>
    </row>
    <row r="56" customFormat="false" ht="32.8" hidden="false" customHeight="false" outlineLevel="0" collapsed="false">
      <c r="A56" s="26" t="s">
        <v>1183</v>
      </c>
      <c r="B56" s="26" t="s">
        <v>1184</v>
      </c>
      <c r="C56" s="27" t="s">
        <v>1185</v>
      </c>
      <c r="D56" s="7" t="n">
        <v>7</v>
      </c>
      <c r="E56" s="7" t="n">
        <v>321</v>
      </c>
      <c r="F56" s="8" t="s">
        <v>426</v>
      </c>
      <c r="G56" s="8" t="s">
        <v>944</v>
      </c>
      <c r="H56" s="16" t="n">
        <f aca="false">INDEX(Scoring!$AO$5:$AO$87,MATCH($E56,Scoring!$A$5:$A$87,0))</f>
        <v>1</v>
      </c>
      <c r="I56" s="17" t="n">
        <f aca="false">INDEX(Scoring!$AP$5:$AP$87,MATCH($E56,Scoring!$A$5:$A$87,0))</f>
        <v>3.6</v>
      </c>
      <c r="J56" s="17" t="n">
        <f aca="false">INDEX(Scoring!$AQ$5:$AQ$87,MATCH($E56,Scoring!$A$5:$A$87,0))</f>
        <v>3.25</v>
      </c>
      <c r="K56" s="17" t="n">
        <f aca="false">INDEX(Scoring!$AR$5:$AR$87,MATCH($E56,Scoring!$A$5:$A$87,0))</f>
        <v>3.25</v>
      </c>
      <c r="L56" s="17" t="n">
        <f aca="false">INDEX(Scoring!$AS$5:$AS$87,MATCH($E56,Scoring!$A$5:$A$87,0))</f>
        <v>3.25</v>
      </c>
      <c r="M56" s="17" t="n">
        <f aca="false">INDEX(Scoring!$AT$5:$AT$87,MATCH($E56,Scoring!$A$5:$A$87,0))</f>
        <v>2</v>
      </c>
      <c r="N56" s="18" t="n">
        <f aca="false">INDEX(Scoring!$AU$5:$AU$87,MATCH($E56,Scoring!$A$5:$A$87,0))</f>
        <v>3.05833333333333</v>
      </c>
      <c r="O56" s="7" t="n">
        <f aca="false">INDEX(Scoring!$AN$5:$AN$87,MATCH($E56,Scoring!$A$5:$A$87,0))</f>
        <v>1</v>
      </c>
      <c r="P56" s="8" t="s">
        <v>1196</v>
      </c>
      <c r="Q56" s="8" t="s">
        <v>1187</v>
      </c>
      <c r="R56" s="8" t="s">
        <v>1084</v>
      </c>
      <c r="S56" s="23" t="s">
        <v>317</v>
      </c>
    </row>
    <row r="57" customFormat="false" ht="32.8" hidden="false" customHeight="false" outlineLevel="0" collapsed="false">
      <c r="A57" s="26" t="s">
        <v>1183</v>
      </c>
      <c r="B57" s="26" t="s">
        <v>1184</v>
      </c>
      <c r="C57" s="27" t="s">
        <v>1185</v>
      </c>
      <c r="D57" s="7" t="n">
        <v>8</v>
      </c>
      <c r="E57" s="7" t="n">
        <v>327</v>
      </c>
      <c r="F57" s="8" t="s">
        <v>426</v>
      </c>
      <c r="G57" s="8" t="s">
        <v>1197</v>
      </c>
      <c r="H57" s="16" t="n">
        <f aca="false">INDEX(Scoring!$AO$5:$AO$87,MATCH($E57,Scoring!$A$5:$A$87,0))</f>
        <v>1</v>
      </c>
      <c r="I57" s="17" t="n">
        <f aca="false">INDEX(Scoring!$AP$5:$AP$87,MATCH($E57,Scoring!$A$5:$A$87,0))</f>
        <v>3.6</v>
      </c>
      <c r="J57" s="17" t="n">
        <f aca="false">INDEX(Scoring!$AQ$5:$AQ$87,MATCH($E57,Scoring!$A$5:$A$87,0))</f>
        <v>3.25</v>
      </c>
      <c r="K57" s="17" t="n">
        <f aca="false">INDEX(Scoring!$AR$5:$AR$87,MATCH($E57,Scoring!$A$5:$A$87,0))</f>
        <v>3.5</v>
      </c>
      <c r="L57" s="17" t="n">
        <f aca="false">INDEX(Scoring!$AS$5:$AS$87,MATCH($E57,Scoring!$A$5:$A$87,0))</f>
        <v>3.25</v>
      </c>
      <c r="M57" s="17" t="n">
        <f aca="false">INDEX(Scoring!$AT$5:$AT$87,MATCH($E57,Scoring!$A$5:$A$87,0))</f>
        <v>2.25</v>
      </c>
      <c r="N57" s="18" t="n">
        <f aca="false">INDEX(Scoring!$AU$5:$AU$87,MATCH($E57,Scoring!$A$5:$A$87,0))</f>
        <v>3.05833333333333</v>
      </c>
      <c r="O57" s="7" t="n">
        <f aca="false">INDEX(Scoring!$AN$5:$AN$87,MATCH($E57,Scoring!$A$5:$A$87,0))</f>
        <v>1</v>
      </c>
      <c r="P57" s="8" t="s">
        <v>1198</v>
      </c>
      <c r="Q57" s="8" t="s">
        <v>1187</v>
      </c>
      <c r="R57" s="8" t="s">
        <v>1084</v>
      </c>
      <c r="S57" s="23" t="s">
        <v>317</v>
      </c>
    </row>
    <row r="58" customFormat="false" ht="32.8" hidden="false" customHeight="false" outlineLevel="0" collapsed="false">
      <c r="A58" s="26" t="s">
        <v>1183</v>
      </c>
      <c r="B58" s="26" t="s">
        <v>1184</v>
      </c>
      <c r="C58" s="27" t="s">
        <v>1185</v>
      </c>
      <c r="D58" s="7" t="n">
        <v>9</v>
      </c>
      <c r="E58" s="7" t="n">
        <v>328</v>
      </c>
      <c r="F58" s="8" t="s">
        <v>426</v>
      </c>
      <c r="G58" s="8" t="s">
        <v>1199</v>
      </c>
      <c r="H58" s="16" t="n">
        <f aca="false">INDEX(Scoring!$AO$5:$AO$87,MATCH($E58,Scoring!$A$5:$A$87,0))</f>
        <v>1</v>
      </c>
      <c r="I58" s="17" t="n">
        <f aca="false">INDEX(Scoring!$AP$5:$AP$87,MATCH($E58,Scoring!$A$5:$A$87,0))</f>
        <v>3.6</v>
      </c>
      <c r="J58" s="17" t="n">
        <f aca="false">INDEX(Scoring!$AQ$5:$AQ$87,MATCH($E58,Scoring!$A$5:$A$87,0))</f>
        <v>3.25</v>
      </c>
      <c r="K58" s="17" t="n">
        <f aca="false">INDEX(Scoring!$AR$5:$AR$87,MATCH($E58,Scoring!$A$5:$A$87,0))</f>
        <v>3.5</v>
      </c>
      <c r="L58" s="17" t="n">
        <f aca="false">INDEX(Scoring!$AS$5:$AS$87,MATCH($E58,Scoring!$A$5:$A$87,0))</f>
        <v>3.25</v>
      </c>
      <c r="M58" s="17" t="n">
        <f aca="false">INDEX(Scoring!$AT$5:$AT$87,MATCH($E58,Scoring!$A$5:$A$87,0))</f>
        <v>2.25</v>
      </c>
      <c r="N58" s="18" t="n">
        <f aca="false">INDEX(Scoring!$AU$5:$AU$87,MATCH($E58,Scoring!$A$5:$A$87,0))</f>
        <v>3.05833333333333</v>
      </c>
      <c r="O58" s="7" t="n">
        <f aca="false">INDEX(Scoring!$AN$5:$AN$87,MATCH($E58,Scoring!$A$5:$A$87,0))</f>
        <v>1</v>
      </c>
      <c r="P58" s="8" t="s">
        <v>1200</v>
      </c>
      <c r="Q58" s="8" t="s">
        <v>1187</v>
      </c>
      <c r="R58" s="8" t="s">
        <v>1084</v>
      </c>
      <c r="S58" s="23" t="s">
        <v>317</v>
      </c>
    </row>
    <row r="59" customFormat="false" ht="43.25" hidden="false" customHeight="false" outlineLevel="0" collapsed="false">
      <c r="A59" s="26" t="s">
        <v>1183</v>
      </c>
      <c r="B59" s="26" t="s">
        <v>1184</v>
      </c>
      <c r="C59" s="27" t="s">
        <v>1185</v>
      </c>
      <c r="D59" s="7" t="n">
        <v>10</v>
      </c>
      <c r="E59" s="7" t="n">
        <v>362</v>
      </c>
      <c r="F59" s="8" t="s">
        <v>481</v>
      </c>
      <c r="G59" s="8" t="s">
        <v>1201</v>
      </c>
      <c r="H59" s="16" t="n">
        <f aca="false">INDEX(Scoring!$AO$5:$AO$87,MATCH($E59,Scoring!$A$5:$A$87,0))</f>
        <v>3</v>
      </c>
      <c r="I59" s="17" t="n">
        <f aca="false">INDEX(Scoring!$AP$5:$AP$87,MATCH($E59,Scoring!$A$5:$A$87,0))</f>
        <v>2.4</v>
      </c>
      <c r="J59" s="17" t="n">
        <f aca="false">INDEX(Scoring!$AQ$5:$AQ$87,MATCH($E59,Scoring!$A$5:$A$87,0))</f>
        <v>2.75</v>
      </c>
      <c r="K59" s="17" t="n">
        <f aca="false">INDEX(Scoring!$AR$5:$AR$87,MATCH($E59,Scoring!$A$5:$A$87,0))</f>
        <v>3</v>
      </c>
      <c r="L59" s="17" t="n">
        <f aca="false">INDEX(Scoring!$AS$5:$AS$87,MATCH($E59,Scoring!$A$5:$A$87,0))</f>
        <v>4</v>
      </c>
      <c r="M59" s="17" t="n">
        <f aca="false">INDEX(Scoring!$AT$5:$AT$87,MATCH($E59,Scoring!$A$5:$A$87,0))</f>
        <v>3</v>
      </c>
      <c r="N59" s="18" t="n">
        <f aca="false">INDEX(Scoring!$AU$5:$AU$87,MATCH($E59,Scoring!$A$5:$A$87,0))</f>
        <v>3.025</v>
      </c>
      <c r="O59" s="7" t="n">
        <f aca="false">INDEX(Scoring!$AN$5:$AN$87,MATCH($E59,Scoring!$A$5:$A$87,0))</f>
        <v>1</v>
      </c>
      <c r="P59" s="8" t="s">
        <v>1202</v>
      </c>
      <c r="Q59" s="8" t="s">
        <v>1203</v>
      </c>
      <c r="R59" s="8" t="s">
        <v>1081</v>
      </c>
      <c r="S59" s="23" t="s">
        <v>317</v>
      </c>
    </row>
    <row r="60" customFormat="false" ht="53.7" hidden="false" customHeight="false" outlineLevel="0" collapsed="false">
      <c r="A60" s="26" t="s">
        <v>1183</v>
      </c>
      <c r="B60" s="26" t="s">
        <v>1184</v>
      </c>
      <c r="C60" s="27" t="s">
        <v>1185</v>
      </c>
      <c r="D60" s="7" t="n">
        <v>11</v>
      </c>
      <c r="E60" s="7" t="n">
        <v>284</v>
      </c>
      <c r="F60" s="8" t="s">
        <v>913</v>
      </c>
      <c r="G60" s="8" t="s">
        <v>914</v>
      </c>
      <c r="H60" s="16" t="n">
        <f aca="false">INDEX(Scoring!$AO$5:$AO$87,MATCH($E60,Scoring!$A$5:$A$87,0))</f>
        <v>2</v>
      </c>
      <c r="I60" s="17" t="n">
        <f aca="false">INDEX(Scoring!$AP$5:$AP$87,MATCH($E60,Scoring!$A$5:$A$87,0))</f>
        <v>2.8</v>
      </c>
      <c r="J60" s="17" t="n">
        <f aca="false">INDEX(Scoring!$AQ$5:$AQ$87,MATCH($E60,Scoring!$A$5:$A$87,0))</f>
        <v>2.75</v>
      </c>
      <c r="K60" s="17" t="n">
        <f aca="false">INDEX(Scoring!$AR$5:$AR$87,MATCH($E60,Scoring!$A$5:$A$87,0))</f>
        <v>3.25</v>
      </c>
      <c r="L60" s="17" t="n">
        <f aca="false">INDEX(Scoring!$AS$5:$AS$87,MATCH($E60,Scoring!$A$5:$A$87,0))</f>
        <v>3.25</v>
      </c>
      <c r="M60" s="17" t="n">
        <f aca="false">INDEX(Scoring!$AT$5:$AT$87,MATCH($E60,Scoring!$A$5:$A$87,0))</f>
        <v>2.625</v>
      </c>
      <c r="N60" s="18" t="n">
        <f aca="false">INDEX(Scoring!$AU$5:$AU$87,MATCH($E60,Scoring!$A$5:$A$87,0))</f>
        <v>2.90416666666667</v>
      </c>
      <c r="O60" s="7" t="n">
        <f aca="false">INDEX(Scoring!$AN$5:$AN$87,MATCH($E60,Scoring!$A$5:$A$87,0))</f>
        <v>1</v>
      </c>
      <c r="P60" s="8" t="s">
        <v>1204</v>
      </c>
      <c r="Q60" s="8" t="s">
        <v>1205</v>
      </c>
      <c r="R60" s="8" t="s">
        <v>1078</v>
      </c>
      <c r="S60" s="23" t="s">
        <v>317</v>
      </c>
    </row>
    <row r="61" customFormat="false" ht="43.25" hidden="false" customHeight="false" outlineLevel="0" collapsed="false">
      <c r="A61" s="26" t="s">
        <v>1183</v>
      </c>
      <c r="B61" s="26" t="s">
        <v>1184</v>
      </c>
      <c r="C61" s="27" t="s">
        <v>1185</v>
      </c>
      <c r="D61" s="7" t="n">
        <v>12</v>
      </c>
      <c r="E61" s="7" t="n">
        <v>358</v>
      </c>
      <c r="F61" s="8" t="s">
        <v>722</v>
      </c>
      <c r="G61" s="8" t="s">
        <v>723</v>
      </c>
      <c r="H61" s="16" t="n">
        <f aca="false">INDEX(Scoring!$AO$5:$AO$87,MATCH($E61,Scoring!$A$5:$A$87,0))</f>
        <v>3</v>
      </c>
      <c r="I61" s="17" t="n">
        <f aca="false">INDEX(Scoring!$AP$5:$AP$87,MATCH($E61,Scoring!$A$5:$A$87,0))</f>
        <v>2.4</v>
      </c>
      <c r="J61" s="17" t="n">
        <f aca="false">INDEX(Scoring!$AQ$5:$AQ$87,MATCH($E61,Scoring!$A$5:$A$87,0))</f>
        <v>2.25</v>
      </c>
      <c r="K61" s="17" t="n">
        <f aca="false">INDEX(Scoring!$AR$5:$AR$87,MATCH($E61,Scoring!$A$5:$A$87,0))</f>
        <v>3.25</v>
      </c>
      <c r="L61" s="17" t="n">
        <f aca="false">INDEX(Scoring!$AS$5:$AS$87,MATCH($E61,Scoring!$A$5:$A$87,0))</f>
        <v>3.25</v>
      </c>
      <c r="M61" s="17" t="n">
        <f aca="false">INDEX(Scoring!$AT$5:$AT$87,MATCH($E61,Scoring!$A$5:$A$87,0))</f>
        <v>2.75</v>
      </c>
      <c r="N61" s="18" t="n">
        <f aca="false">INDEX(Scoring!$AU$5:$AU$87,MATCH($E61,Scoring!$A$5:$A$87,0))</f>
        <v>2.9</v>
      </c>
      <c r="O61" s="7" t="n">
        <f aca="false">INDEX(Scoring!$AN$5:$AN$87,MATCH($E61,Scoring!$A$5:$A$87,0))</f>
        <v>1</v>
      </c>
      <c r="P61" s="8" t="s">
        <v>1206</v>
      </c>
      <c r="Q61" s="8" t="s">
        <v>1207</v>
      </c>
      <c r="R61" s="8" t="s">
        <v>1081</v>
      </c>
      <c r="S61" s="23" t="s">
        <v>317</v>
      </c>
    </row>
    <row r="62" customFormat="false" ht="32.8" hidden="false" customHeight="false" outlineLevel="0" collapsed="false">
      <c r="A62" s="26" t="s">
        <v>1183</v>
      </c>
      <c r="B62" s="26" t="s">
        <v>1184</v>
      </c>
      <c r="C62" s="27" t="s">
        <v>1185</v>
      </c>
      <c r="D62" s="7" t="n">
        <v>13</v>
      </c>
      <c r="E62" s="7" t="n">
        <v>299</v>
      </c>
      <c r="F62" s="8" t="s">
        <v>342</v>
      </c>
      <c r="G62" s="8" t="s">
        <v>828</v>
      </c>
      <c r="H62" s="16" t="n">
        <f aca="false">INDEX(Scoring!$AO$5:$AO$87,MATCH($E62,Scoring!$A$5:$A$87,0))</f>
        <v>3</v>
      </c>
      <c r="I62" s="17" t="n">
        <f aca="false">INDEX(Scoring!$AP$5:$AP$87,MATCH($E62,Scoring!$A$5:$A$87,0))</f>
        <v>3</v>
      </c>
      <c r="J62" s="17" t="n">
        <f aca="false">INDEX(Scoring!$AQ$5:$AQ$87,MATCH($E62,Scoring!$A$5:$A$87,0))</f>
        <v>3.75</v>
      </c>
      <c r="K62" s="17" t="n">
        <f aca="false">INDEX(Scoring!$AR$5:$AR$87,MATCH($E62,Scoring!$A$5:$A$87,0))</f>
        <v>2.75</v>
      </c>
      <c r="L62" s="17" t="n">
        <f aca="false">INDEX(Scoring!$AS$5:$AS$87,MATCH($E62,Scoring!$A$5:$A$87,0))</f>
        <v>2</v>
      </c>
      <c r="M62" s="17" t="n">
        <f aca="false">INDEX(Scoring!$AT$5:$AT$87,MATCH($E62,Scoring!$A$5:$A$87,0))</f>
        <v>3.25</v>
      </c>
      <c r="N62" s="18" t="n">
        <f aca="false">INDEX(Scoring!$AU$5:$AU$87,MATCH($E62,Scoring!$A$5:$A$87,0))</f>
        <v>2.875</v>
      </c>
      <c r="O62" s="7" t="n">
        <f aca="false">INDEX(Scoring!$AN$5:$AN$87,MATCH($E62,Scoring!$A$5:$A$87,0))</f>
        <v>2</v>
      </c>
      <c r="P62" s="8" t="s">
        <v>1208</v>
      </c>
      <c r="Q62" s="8" t="s">
        <v>1209</v>
      </c>
      <c r="R62" s="8" t="s">
        <v>1081</v>
      </c>
      <c r="S62" s="23" t="s">
        <v>317</v>
      </c>
    </row>
    <row r="63" customFormat="false" ht="43.25" hidden="false" customHeight="false" outlineLevel="0" collapsed="false">
      <c r="A63" s="26" t="s">
        <v>1183</v>
      </c>
      <c r="B63" s="26" t="s">
        <v>1184</v>
      </c>
      <c r="C63" s="27" t="s">
        <v>1185</v>
      </c>
      <c r="D63" s="7" t="n">
        <v>14</v>
      </c>
      <c r="E63" s="7" t="n">
        <v>294</v>
      </c>
      <c r="F63" s="8" t="s">
        <v>913</v>
      </c>
      <c r="G63" s="8" t="s">
        <v>924</v>
      </c>
      <c r="H63" s="16" t="n">
        <f aca="false">INDEX(Scoring!$AO$5:$AO$87,MATCH($E63,Scoring!$A$5:$A$87,0))</f>
        <v>2</v>
      </c>
      <c r="I63" s="17" t="n">
        <f aca="false">INDEX(Scoring!$AP$5:$AP$87,MATCH($E63,Scoring!$A$5:$A$87,0))</f>
        <v>2.8</v>
      </c>
      <c r="J63" s="17" t="n">
        <f aca="false">INDEX(Scoring!$AQ$5:$AQ$87,MATCH($E63,Scoring!$A$5:$A$87,0))</f>
        <v>2.75</v>
      </c>
      <c r="K63" s="17" t="n">
        <f aca="false">INDEX(Scoring!$AR$5:$AR$87,MATCH($E63,Scoring!$A$5:$A$87,0))</f>
        <v>3</v>
      </c>
      <c r="L63" s="17" t="n">
        <f aca="false">INDEX(Scoring!$AS$5:$AS$87,MATCH($E63,Scoring!$A$5:$A$87,0))</f>
        <v>3</v>
      </c>
      <c r="M63" s="17" t="n">
        <f aca="false">INDEX(Scoring!$AT$5:$AT$87,MATCH($E63,Scoring!$A$5:$A$87,0))</f>
        <v>2.625</v>
      </c>
      <c r="N63" s="18" t="n">
        <f aca="false">INDEX(Scoring!$AU$5:$AU$87,MATCH($E63,Scoring!$A$5:$A$87,0))</f>
        <v>2.82083333333333</v>
      </c>
      <c r="O63" s="7" t="n">
        <f aca="false">INDEX(Scoring!$AN$5:$AN$87,MATCH($E63,Scoring!$A$5:$A$87,0))</f>
        <v>1</v>
      </c>
      <c r="P63" s="8" t="s">
        <v>1210</v>
      </c>
      <c r="Q63" s="8" t="s">
        <v>1187</v>
      </c>
      <c r="R63" s="8" t="s">
        <v>1078</v>
      </c>
      <c r="S63" s="23" t="s">
        <v>317</v>
      </c>
    </row>
    <row r="64" customFormat="false" ht="32.8" hidden="false" customHeight="false" outlineLevel="0" collapsed="false">
      <c r="A64" s="26" t="s">
        <v>1183</v>
      </c>
      <c r="B64" s="26" t="s">
        <v>1184</v>
      </c>
      <c r="C64" s="27" t="s">
        <v>1185</v>
      </c>
      <c r="D64" s="7" t="n">
        <v>15</v>
      </c>
      <c r="E64" s="7" t="n">
        <v>360</v>
      </c>
      <c r="F64" s="8" t="s">
        <v>472</v>
      </c>
      <c r="G64" s="8" t="s">
        <v>473</v>
      </c>
      <c r="H64" s="16" t="n">
        <f aca="false">INDEX(Scoring!$AO$5:$AO$87,MATCH($E64,Scoring!$A$5:$A$87,0))</f>
        <v>2</v>
      </c>
      <c r="I64" s="17" t="n">
        <f aca="false">INDEX(Scoring!$AP$5:$AP$87,MATCH($E64,Scoring!$A$5:$A$87,0))</f>
        <v>3.4</v>
      </c>
      <c r="J64" s="17" t="n">
        <f aca="false">INDEX(Scoring!$AQ$5:$AQ$87,MATCH($E64,Scoring!$A$5:$A$87,0))</f>
        <v>3.25</v>
      </c>
      <c r="K64" s="17" t="n">
        <f aca="false">INDEX(Scoring!$AR$5:$AR$87,MATCH($E64,Scoring!$A$5:$A$87,0))</f>
        <v>2.5</v>
      </c>
      <c r="L64" s="17" t="n">
        <f aca="false">INDEX(Scoring!$AS$5:$AS$87,MATCH($E64,Scoring!$A$5:$A$87,0))</f>
        <v>3</v>
      </c>
      <c r="M64" s="17" t="n">
        <f aca="false">INDEX(Scoring!$AT$5:$AT$87,MATCH($E64,Scoring!$A$5:$A$87,0))</f>
        <v>3.25</v>
      </c>
      <c r="N64" s="18" t="n">
        <f aca="false">INDEX(Scoring!$AU$5:$AU$87,MATCH($E64,Scoring!$A$5:$A$87,0))</f>
        <v>2.81666666666667</v>
      </c>
      <c r="O64" s="7" t="n">
        <f aca="false">INDEX(Scoring!$AN$5:$AN$87,MATCH($E64,Scoring!$A$5:$A$87,0))</f>
        <v>3</v>
      </c>
      <c r="P64" s="8" t="s">
        <v>1211</v>
      </c>
      <c r="Q64" s="8" t="s">
        <v>1212</v>
      </c>
      <c r="R64" s="8" t="s">
        <v>1213</v>
      </c>
      <c r="S64" s="23" t="s">
        <v>317</v>
      </c>
    </row>
    <row r="65" customFormat="false" ht="32.8" hidden="false" customHeight="false" outlineLevel="0" collapsed="false">
      <c r="A65" s="26" t="s">
        <v>1183</v>
      </c>
      <c r="B65" s="26" t="s">
        <v>1184</v>
      </c>
      <c r="C65" s="27" t="s">
        <v>1185</v>
      </c>
      <c r="D65" s="7" t="n">
        <v>16</v>
      </c>
      <c r="E65" s="7" t="n">
        <v>298</v>
      </c>
      <c r="F65" s="8" t="s">
        <v>812</v>
      </c>
      <c r="G65" s="8" t="s">
        <v>822</v>
      </c>
      <c r="H65" s="16" t="n">
        <f aca="false">INDEX(Scoring!$AO$5:$AO$87,MATCH($E65,Scoring!$A$5:$A$87,0))</f>
        <v>2</v>
      </c>
      <c r="I65" s="17" t="n">
        <f aca="false">INDEX(Scoring!$AP$5:$AP$87,MATCH($E65,Scoring!$A$5:$A$87,0))</f>
        <v>3</v>
      </c>
      <c r="J65" s="17" t="n">
        <f aca="false">INDEX(Scoring!$AQ$5:$AQ$87,MATCH($E65,Scoring!$A$5:$A$87,0))</f>
        <v>3.25</v>
      </c>
      <c r="K65" s="17" t="n">
        <f aca="false">INDEX(Scoring!$AR$5:$AR$87,MATCH($E65,Scoring!$A$5:$A$87,0))</f>
        <v>3.25</v>
      </c>
      <c r="L65" s="17" t="n">
        <f aca="false">INDEX(Scoring!$AS$5:$AS$87,MATCH($E65,Scoring!$A$5:$A$87,0))</f>
        <v>2</v>
      </c>
      <c r="M65" s="17" t="n">
        <f aca="false">INDEX(Scoring!$AT$5:$AT$87,MATCH($E65,Scoring!$A$5:$A$87,0))</f>
        <v>2.875</v>
      </c>
      <c r="N65" s="18" t="n">
        <f aca="false">INDEX(Scoring!$AU$5:$AU$87,MATCH($E65,Scoring!$A$5:$A$87,0))</f>
        <v>2.77083333333333</v>
      </c>
      <c r="O65" s="7" t="n">
        <f aca="false">INDEX(Scoring!$AN$5:$AN$87,MATCH($E65,Scoring!$A$5:$A$87,0))</f>
        <v>2</v>
      </c>
      <c r="P65" s="8" t="s">
        <v>1214</v>
      </c>
      <c r="Q65" s="8" t="s">
        <v>1215</v>
      </c>
      <c r="R65" s="8" t="s">
        <v>1081</v>
      </c>
      <c r="S65" s="23" t="s">
        <v>317</v>
      </c>
    </row>
    <row r="66" customFormat="false" ht="43.25" hidden="false" customHeight="false" outlineLevel="0" collapsed="false">
      <c r="A66" s="26" t="s">
        <v>1183</v>
      </c>
      <c r="B66" s="26" t="s">
        <v>1184</v>
      </c>
      <c r="C66" s="27" t="s">
        <v>1185</v>
      </c>
      <c r="D66" s="7" t="n">
        <v>17</v>
      </c>
      <c r="E66" s="7" t="n">
        <v>291</v>
      </c>
      <c r="F66" s="8" t="s">
        <v>407</v>
      </c>
      <c r="G66" s="8" t="s">
        <v>1216</v>
      </c>
      <c r="H66" s="16" t="n">
        <f aca="false">INDEX(Scoring!$AO$5:$AO$87,MATCH($E66,Scoring!$A$5:$A$87,0))</f>
        <v>2</v>
      </c>
      <c r="I66" s="17" t="n">
        <f aca="false">INDEX(Scoring!$AP$5:$AP$87,MATCH($E66,Scoring!$A$5:$A$87,0))</f>
        <v>2.6</v>
      </c>
      <c r="J66" s="17" t="n">
        <f aca="false">INDEX(Scoring!$AQ$5:$AQ$87,MATCH($E66,Scoring!$A$5:$A$87,0))</f>
        <v>2.5</v>
      </c>
      <c r="K66" s="17" t="n">
        <f aca="false">INDEX(Scoring!$AR$5:$AR$87,MATCH($E66,Scoring!$A$5:$A$87,0))</f>
        <v>3.25</v>
      </c>
      <c r="L66" s="17" t="n">
        <f aca="false">INDEX(Scoring!$AS$5:$AS$87,MATCH($E66,Scoring!$A$5:$A$87,0))</f>
        <v>2.5</v>
      </c>
      <c r="M66" s="17" t="n">
        <f aca="false">INDEX(Scoring!$AT$5:$AT$87,MATCH($E66,Scoring!$A$5:$A$87,0))</f>
        <v>2.625</v>
      </c>
      <c r="N66" s="18" t="n">
        <f aca="false">INDEX(Scoring!$AU$5:$AU$87,MATCH($E66,Scoring!$A$5:$A$87,0))</f>
        <v>2.70416666666667</v>
      </c>
      <c r="O66" s="7" t="n">
        <f aca="false">INDEX(Scoring!$AN$5:$AN$87,MATCH($E66,Scoring!$A$5:$A$87,0))</f>
        <v>2</v>
      </c>
      <c r="P66" s="8" t="s">
        <v>1217</v>
      </c>
      <c r="Q66" s="8" t="s">
        <v>1218</v>
      </c>
      <c r="R66" s="8" t="s">
        <v>1081</v>
      </c>
      <c r="S66" s="23" t="s">
        <v>317</v>
      </c>
    </row>
    <row r="67" customFormat="false" ht="43.25" hidden="false" customHeight="false" outlineLevel="0" collapsed="false">
      <c r="A67" s="26" t="s">
        <v>1183</v>
      </c>
      <c r="B67" s="26" t="s">
        <v>1184</v>
      </c>
      <c r="C67" s="27" t="s">
        <v>1185</v>
      </c>
      <c r="D67" s="7" t="n">
        <v>18</v>
      </c>
      <c r="E67" s="7" t="n">
        <v>304</v>
      </c>
      <c r="F67" s="8" t="s">
        <v>417</v>
      </c>
      <c r="G67" s="8" t="s">
        <v>1219</v>
      </c>
      <c r="H67" s="16" t="n">
        <f aca="false">INDEX(Scoring!$AO$5:$AO$87,MATCH($E67,Scoring!$A$5:$A$87,0))</f>
        <v>2</v>
      </c>
      <c r="I67" s="17" t="n">
        <f aca="false">INDEX(Scoring!$AP$5:$AP$87,MATCH($E67,Scoring!$A$5:$A$87,0))</f>
        <v>2.2</v>
      </c>
      <c r="J67" s="17" t="n">
        <f aca="false">INDEX(Scoring!$AQ$5:$AQ$87,MATCH($E67,Scoring!$A$5:$A$87,0))</f>
        <v>2.75</v>
      </c>
      <c r="K67" s="17" t="n">
        <f aca="false">INDEX(Scoring!$AR$5:$AR$87,MATCH($E67,Scoring!$A$5:$A$87,0))</f>
        <v>3.25</v>
      </c>
      <c r="L67" s="17" t="n">
        <f aca="false">INDEX(Scoring!$AS$5:$AS$87,MATCH($E67,Scoring!$A$5:$A$87,0))</f>
        <v>2.75</v>
      </c>
      <c r="M67" s="17" t="n">
        <f aca="false">INDEX(Scoring!$AT$5:$AT$87,MATCH($E67,Scoring!$A$5:$A$87,0))</f>
        <v>3</v>
      </c>
      <c r="N67" s="18" t="n">
        <f aca="false">INDEX(Scoring!$AU$5:$AU$87,MATCH($E67,Scoring!$A$5:$A$87,0))</f>
        <v>2.65833333333333</v>
      </c>
      <c r="O67" s="7" t="n">
        <f aca="false">INDEX(Scoring!$AN$5:$AN$87,MATCH($E67,Scoring!$A$5:$A$87,0))</f>
        <v>2</v>
      </c>
      <c r="P67" s="8" t="s">
        <v>1220</v>
      </c>
      <c r="Q67" s="8" t="s">
        <v>1221</v>
      </c>
      <c r="R67" s="8" t="s">
        <v>1078</v>
      </c>
      <c r="S67" s="23" t="s">
        <v>317</v>
      </c>
    </row>
    <row r="68" customFormat="false" ht="32.8" hidden="false" customHeight="false" outlineLevel="0" collapsed="false">
      <c r="A68" s="26" t="s">
        <v>1183</v>
      </c>
      <c r="B68" s="26" t="s">
        <v>1184</v>
      </c>
      <c r="C68" s="27" t="s">
        <v>1185</v>
      </c>
      <c r="D68" s="7" t="n">
        <v>19</v>
      </c>
      <c r="E68" s="7" t="n">
        <v>345</v>
      </c>
      <c r="F68" s="8" t="s">
        <v>793</v>
      </c>
      <c r="G68" s="8" t="s">
        <v>794</v>
      </c>
      <c r="H68" s="16" t="n">
        <f aca="false">INDEX(Scoring!$AO$5:$AO$87,MATCH($E68,Scoring!$A$5:$A$87,0))</f>
        <v>2</v>
      </c>
      <c r="I68" s="17" t="n">
        <f aca="false">INDEX(Scoring!$AP$5:$AP$87,MATCH($E68,Scoring!$A$5:$A$87,0))</f>
        <v>2</v>
      </c>
      <c r="J68" s="17" t="n">
        <f aca="false">INDEX(Scoring!$AQ$5:$AQ$87,MATCH($E68,Scoring!$A$5:$A$87,0))</f>
        <v>1.5</v>
      </c>
      <c r="K68" s="17" t="n">
        <f aca="false">INDEX(Scoring!$AR$5:$AR$87,MATCH($E68,Scoring!$A$5:$A$87,0))</f>
        <v>2.75</v>
      </c>
      <c r="L68" s="17" t="n">
        <f aca="false">INDEX(Scoring!$AS$5:$AS$87,MATCH($E68,Scoring!$A$5:$A$87,0))</f>
        <v>3</v>
      </c>
      <c r="M68" s="17" t="n">
        <f aca="false">INDEX(Scoring!$AT$5:$AT$87,MATCH($E68,Scoring!$A$5:$A$87,0))</f>
        <v>2</v>
      </c>
      <c r="N68" s="18" t="n">
        <f aca="false">INDEX(Scoring!$AU$5:$AU$87,MATCH($E68,Scoring!$A$5:$A$87,0))</f>
        <v>2.54166666666667</v>
      </c>
      <c r="O68" s="7" t="n">
        <f aca="false">INDEX(Scoring!$AN$5:$AN$87,MATCH($E68,Scoring!$A$5:$A$87,0))</f>
        <v>2</v>
      </c>
      <c r="P68" s="8" t="s">
        <v>1222</v>
      </c>
      <c r="Q68" s="8" t="s">
        <v>1223</v>
      </c>
      <c r="R68" s="8" t="s">
        <v>1078</v>
      </c>
      <c r="S68" s="23" t="s">
        <v>317</v>
      </c>
    </row>
    <row r="69" customFormat="false" ht="32.8" hidden="false" customHeight="false" outlineLevel="0" collapsed="false">
      <c r="A69" s="26" t="s">
        <v>1183</v>
      </c>
      <c r="B69" s="26" t="s">
        <v>1224</v>
      </c>
      <c r="C69" s="27" t="s">
        <v>1225</v>
      </c>
      <c r="D69" s="7" t="n">
        <v>1</v>
      </c>
      <c r="E69" s="7" t="n">
        <v>308</v>
      </c>
      <c r="F69" s="8" t="s">
        <v>342</v>
      </c>
      <c r="G69" s="8" t="s">
        <v>650</v>
      </c>
      <c r="H69" s="16" t="n">
        <f aca="false">INDEX(Scoring!$AO$5:$AO$87,MATCH($E69,Scoring!$A$5:$A$87,0))</f>
        <v>3</v>
      </c>
      <c r="I69" s="17" t="n">
        <f aca="false">INDEX(Scoring!$AP$5:$AP$87,MATCH($E69,Scoring!$A$5:$A$87,0))</f>
        <v>3.2</v>
      </c>
      <c r="J69" s="17" t="n">
        <f aca="false">INDEX(Scoring!$AQ$5:$AQ$87,MATCH($E69,Scoring!$A$5:$A$87,0))</f>
        <v>3.5</v>
      </c>
      <c r="K69" s="17" t="n">
        <f aca="false">INDEX(Scoring!$AR$5:$AR$87,MATCH($E69,Scoring!$A$5:$A$87,0))</f>
        <v>3.25</v>
      </c>
      <c r="L69" s="17" t="n">
        <f aca="false">INDEX(Scoring!$AS$5:$AS$87,MATCH($E69,Scoring!$A$5:$A$87,0))</f>
        <v>5</v>
      </c>
      <c r="M69" s="17" t="n">
        <f aca="false">INDEX(Scoring!$AT$5:$AT$87,MATCH($E69,Scoring!$A$5:$A$87,0))</f>
        <v>3</v>
      </c>
      <c r="N69" s="18" t="n">
        <f aca="false">INDEX(Scoring!$AU$5:$AU$87,MATCH($E69,Scoring!$A$5:$A$87,0))</f>
        <v>3.49166666666667</v>
      </c>
      <c r="O69" s="7" t="n">
        <f aca="false">INDEX(Scoring!$AN$5:$AN$87,MATCH($E69,Scoring!$A$5:$A$87,0))</f>
        <v>1</v>
      </c>
      <c r="P69" s="8" t="s">
        <v>1226</v>
      </c>
      <c r="Q69" s="8" t="s">
        <v>1227</v>
      </c>
      <c r="R69" s="8" t="s">
        <v>1078</v>
      </c>
      <c r="S69" s="23" t="s">
        <v>317</v>
      </c>
    </row>
    <row r="70" customFormat="false" ht="43.25" hidden="false" customHeight="false" outlineLevel="0" collapsed="false">
      <c r="A70" s="26" t="s">
        <v>1183</v>
      </c>
      <c r="B70" s="26" t="s">
        <v>1224</v>
      </c>
      <c r="C70" s="27" t="s">
        <v>1225</v>
      </c>
      <c r="D70" s="7" t="n">
        <v>2</v>
      </c>
      <c r="E70" s="7" t="n">
        <v>353</v>
      </c>
      <c r="F70" s="8" t="s">
        <v>426</v>
      </c>
      <c r="G70" s="8" t="s">
        <v>1228</v>
      </c>
      <c r="H70" s="16" t="n">
        <f aca="false">INDEX(Scoring!$AO$5:$AO$87,MATCH($E70,Scoring!$A$5:$A$87,0))</f>
        <v>3</v>
      </c>
      <c r="I70" s="17" t="n">
        <f aca="false">INDEX(Scoring!$AP$5:$AP$87,MATCH($E70,Scoring!$A$5:$A$87,0))</f>
        <v>3.8</v>
      </c>
      <c r="J70" s="17" t="n">
        <f aca="false">INDEX(Scoring!$AQ$5:$AQ$87,MATCH($E70,Scoring!$A$5:$A$87,0))</f>
        <v>3.5</v>
      </c>
      <c r="K70" s="17" t="n">
        <f aca="false">INDEX(Scoring!$AR$5:$AR$87,MATCH($E70,Scoring!$A$5:$A$87,0))</f>
        <v>3.5</v>
      </c>
      <c r="L70" s="17" t="n">
        <f aca="false">INDEX(Scoring!$AS$5:$AS$87,MATCH($E70,Scoring!$A$5:$A$87,0))</f>
        <v>4.5</v>
      </c>
      <c r="M70" s="17" t="n">
        <f aca="false">INDEX(Scoring!$AT$5:$AT$87,MATCH($E70,Scoring!$A$5:$A$87,0))</f>
        <v>3.625</v>
      </c>
      <c r="N70" s="18" t="n">
        <f aca="false">INDEX(Scoring!$AU$5:$AU$87,MATCH($E70,Scoring!$A$5:$A$87,0))</f>
        <v>3.44583333333333</v>
      </c>
      <c r="O70" s="7" t="n">
        <f aca="false">INDEX(Scoring!$AN$5:$AN$87,MATCH($E70,Scoring!$A$5:$A$87,0))</f>
        <v>3</v>
      </c>
      <c r="P70" s="8" t="s">
        <v>1229</v>
      </c>
      <c r="Q70" s="8" t="s">
        <v>1230</v>
      </c>
      <c r="R70" s="8" t="s">
        <v>1099</v>
      </c>
      <c r="S70" s="23" t="s">
        <v>317</v>
      </c>
    </row>
    <row r="71" customFormat="false" ht="53.7" hidden="false" customHeight="false" outlineLevel="0" collapsed="false">
      <c r="A71" s="26" t="s">
        <v>1183</v>
      </c>
      <c r="B71" s="26" t="s">
        <v>1224</v>
      </c>
      <c r="C71" s="27" t="s">
        <v>1225</v>
      </c>
      <c r="D71" s="7" t="n">
        <v>3</v>
      </c>
      <c r="E71" s="7" t="n">
        <v>343</v>
      </c>
      <c r="F71" s="8" t="s">
        <v>776</v>
      </c>
      <c r="G71" s="8" t="s">
        <v>785</v>
      </c>
      <c r="H71" s="16" t="n">
        <f aca="false">INDEX(Scoring!$AO$5:$AO$87,MATCH($E71,Scoring!$A$5:$A$87,0))</f>
        <v>2</v>
      </c>
      <c r="I71" s="17" t="n">
        <f aca="false">INDEX(Scoring!$AP$5:$AP$87,MATCH($E71,Scoring!$A$5:$A$87,0))</f>
        <v>3.2</v>
      </c>
      <c r="J71" s="17" t="n">
        <f aca="false">INDEX(Scoring!$AQ$5:$AQ$87,MATCH($E71,Scoring!$A$5:$A$87,0))</f>
        <v>3</v>
      </c>
      <c r="K71" s="17" t="n">
        <f aca="false">INDEX(Scoring!$AR$5:$AR$87,MATCH($E71,Scoring!$A$5:$A$87,0))</f>
        <v>2.75</v>
      </c>
      <c r="L71" s="17" t="n">
        <f aca="false">INDEX(Scoring!$AS$5:$AS$87,MATCH($E71,Scoring!$A$5:$A$87,0))</f>
        <v>4.75</v>
      </c>
      <c r="M71" s="17" t="n">
        <f aca="false">INDEX(Scoring!$AT$5:$AT$87,MATCH($E71,Scoring!$A$5:$A$87,0))</f>
        <v>2.75</v>
      </c>
      <c r="N71" s="18" t="n">
        <f aca="false">INDEX(Scoring!$AU$5:$AU$87,MATCH($E71,Scoring!$A$5:$A$87,0))</f>
        <v>3.15833333333333</v>
      </c>
      <c r="O71" s="7" t="n">
        <f aca="false">INDEX(Scoring!$AN$5:$AN$87,MATCH($E71,Scoring!$A$5:$A$87,0))</f>
        <v>2</v>
      </c>
      <c r="P71" s="8" t="s">
        <v>1231</v>
      </c>
      <c r="Q71" s="8" t="s">
        <v>1232</v>
      </c>
      <c r="R71" s="8" t="s">
        <v>1078</v>
      </c>
      <c r="S71" s="23" t="s">
        <v>317</v>
      </c>
    </row>
    <row r="72" customFormat="false" ht="43.25" hidden="false" customHeight="false" outlineLevel="0" collapsed="false">
      <c r="A72" s="26" t="s">
        <v>1183</v>
      </c>
      <c r="B72" s="26" t="s">
        <v>1224</v>
      </c>
      <c r="C72" s="27" t="s">
        <v>1225</v>
      </c>
      <c r="D72" s="7" t="n">
        <v>4</v>
      </c>
      <c r="E72" s="7" t="n">
        <v>349</v>
      </c>
      <c r="F72" s="8" t="s">
        <v>751</v>
      </c>
      <c r="G72" s="8" t="s">
        <v>900</v>
      </c>
      <c r="H72" s="16" t="n">
        <f aca="false">INDEX(Scoring!$AO$5:$AO$87,MATCH($E72,Scoring!$A$5:$A$87,0))</f>
        <v>2</v>
      </c>
      <c r="I72" s="17" t="n">
        <f aca="false">INDEX(Scoring!$AP$5:$AP$87,MATCH($E72,Scoring!$A$5:$A$87,0))</f>
        <v>3.8</v>
      </c>
      <c r="J72" s="17" t="n">
        <f aca="false">INDEX(Scoring!$AQ$5:$AQ$87,MATCH($E72,Scoring!$A$5:$A$87,0))</f>
        <v>3.25</v>
      </c>
      <c r="K72" s="17" t="n">
        <f aca="false">INDEX(Scoring!$AR$5:$AR$87,MATCH($E72,Scoring!$A$5:$A$87,0))</f>
        <v>2.75</v>
      </c>
      <c r="L72" s="17" t="n">
        <f aca="false">INDEX(Scoring!$AS$5:$AS$87,MATCH($E72,Scoring!$A$5:$A$87,0))</f>
        <v>4</v>
      </c>
      <c r="M72" s="17" t="n">
        <f aca="false">INDEX(Scoring!$AT$5:$AT$87,MATCH($E72,Scoring!$A$5:$A$87,0))</f>
        <v>3.5</v>
      </c>
      <c r="N72" s="18" t="n">
        <f aca="false">INDEX(Scoring!$AU$5:$AU$87,MATCH($E72,Scoring!$A$5:$A$87,0))</f>
        <v>3.05</v>
      </c>
      <c r="O72" s="7" t="n">
        <f aca="false">INDEX(Scoring!$AN$5:$AN$87,MATCH($E72,Scoring!$A$5:$A$87,0))</f>
        <v>2</v>
      </c>
      <c r="P72" s="8" t="s">
        <v>1233</v>
      </c>
      <c r="Q72" s="8" t="s">
        <v>1234</v>
      </c>
      <c r="R72" s="8" t="s">
        <v>1081</v>
      </c>
      <c r="S72" s="23" t="s">
        <v>317</v>
      </c>
    </row>
    <row r="73" customFormat="false" ht="32.8" hidden="false" customHeight="false" outlineLevel="0" collapsed="false">
      <c r="A73" s="26" t="s">
        <v>1183</v>
      </c>
      <c r="B73" s="26" t="s">
        <v>1224</v>
      </c>
      <c r="C73" s="27" t="s">
        <v>1225</v>
      </c>
      <c r="D73" s="7" t="n">
        <v>5</v>
      </c>
      <c r="E73" s="7" t="n">
        <v>347</v>
      </c>
      <c r="F73" s="8" t="s">
        <v>354</v>
      </c>
      <c r="G73" s="8" t="s">
        <v>355</v>
      </c>
      <c r="H73" s="16" t="n">
        <f aca="false">INDEX(Scoring!$AO$5:$AO$87,MATCH($E73,Scoring!$A$5:$A$87,0))</f>
        <v>3</v>
      </c>
      <c r="I73" s="17" t="n">
        <f aca="false">INDEX(Scoring!$AP$5:$AP$87,MATCH($E73,Scoring!$A$5:$A$87,0))</f>
        <v>3.4</v>
      </c>
      <c r="J73" s="17" t="n">
        <f aca="false">INDEX(Scoring!$AQ$5:$AQ$87,MATCH($E73,Scoring!$A$5:$A$87,0))</f>
        <v>3.25</v>
      </c>
      <c r="K73" s="17" t="n">
        <f aca="false">INDEX(Scoring!$AR$5:$AR$87,MATCH($E73,Scoring!$A$5:$A$87,0))</f>
        <v>2.5</v>
      </c>
      <c r="L73" s="17" t="n">
        <f aca="false">INDEX(Scoring!$AS$5:$AS$87,MATCH($E73,Scoring!$A$5:$A$87,0))</f>
        <v>2.75</v>
      </c>
      <c r="M73" s="17" t="n">
        <f aca="false">INDEX(Scoring!$AT$5:$AT$87,MATCH($E73,Scoring!$A$5:$A$87,0))</f>
        <v>2.625</v>
      </c>
      <c r="N73" s="18" t="n">
        <f aca="false">INDEX(Scoring!$AU$5:$AU$87,MATCH($E73,Scoring!$A$5:$A$87,0))</f>
        <v>3.04583333333333</v>
      </c>
      <c r="O73" s="7" t="n">
        <f aca="false">INDEX(Scoring!$AN$5:$AN$87,MATCH($E73,Scoring!$A$5:$A$87,0))</f>
        <v>3</v>
      </c>
      <c r="P73" s="8" t="s">
        <v>1235</v>
      </c>
      <c r="Q73" s="8" t="s">
        <v>1236</v>
      </c>
      <c r="R73" s="8" t="s">
        <v>1078</v>
      </c>
      <c r="S73" s="23" t="s">
        <v>317</v>
      </c>
    </row>
    <row r="74" customFormat="false" ht="43.25" hidden="false" customHeight="false" outlineLevel="0" collapsed="false">
      <c r="A74" s="26" t="s">
        <v>1183</v>
      </c>
      <c r="B74" s="26" t="s">
        <v>1224</v>
      </c>
      <c r="C74" s="27" t="s">
        <v>1225</v>
      </c>
      <c r="D74" s="7" t="n">
        <v>6</v>
      </c>
      <c r="E74" s="7" t="n">
        <v>359</v>
      </c>
      <c r="F74" s="8" t="s">
        <v>426</v>
      </c>
      <c r="G74" s="8" t="s">
        <v>730</v>
      </c>
      <c r="H74" s="16" t="n">
        <f aca="false">INDEX(Scoring!$AO$5:$AO$87,MATCH($E74,Scoring!$A$5:$A$87,0))</f>
        <v>3</v>
      </c>
      <c r="I74" s="17" t="n">
        <f aca="false">INDEX(Scoring!$AP$5:$AP$87,MATCH($E74,Scoring!$A$5:$A$87,0))</f>
        <v>3.6</v>
      </c>
      <c r="J74" s="17" t="n">
        <f aca="false">INDEX(Scoring!$AQ$5:$AQ$87,MATCH($E74,Scoring!$A$5:$A$87,0))</f>
        <v>3.25</v>
      </c>
      <c r="K74" s="17" t="n">
        <f aca="false">INDEX(Scoring!$AR$5:$AR$87,MATCH($E74,Scoring!$A$5:$A$87,0))</f>
        <v>2.75</v>
      </c>
      <c r="L74" s="17" t="n">
        <f aca="false">INDEX(Scoring!$AS$5:$AS$87,MATCH($E74,Scoring!$A$5:$A$87,0))</f>
        <v>3.5</v>
      </c>
      <c r="M74" s="17" t="n">
        <f aca="false">INDEX(Scoring!$AT$5:$AT$87,MATCH($E74,Scoring!$A$5:$A$87,0))</f>
        <v>3.875</v>
      </c>
      <c r="N74" s="18" t="n">
        <f aca="false">INDEX(Scoring!$AU$5:$AU$87,MATCH($E74,Scoring!$A$5:$A$87,0))</f>
        <v>3.0375</v>
      </c>
      <c r="O74" s="7" t="n">
        <f aca="false">INDEX(Scoring!$AN$5:$AN$87,MATCH($E74,Scoring!$A$5:$A$87,0))</f>
        <v>2</v>
      </c>
      <c r="P74" s="8" t="s">
        <v>1237</v>
      </c>
      <c r="Q74" s="8" t="s">
        <v>1238</v>
      </c>
      <c r="R74" s="8" t="s">
        <v>1081</v>
      </c>
      <c r="S74" s="23" t="s">
        <v>317</v>
      </c>
    </row>
    <row r="75" customFormat="false" ht="32.8" hidden="false" customHeight="false" outlineLevel="0" collapsed="false">
      <c r="A75" s="26" t="s">
        <v>1183</v>
      </c>
      <c r="B75" s="26" t="s">
        <v>1224</v>
      </c>
      <c r="C75" s="27" t="s">
        <v>1225</v>
      </c>
      <c r="D75" s="7" t="n">
        <v>7</v>
      </c>
      <c r="E75" s="7" t="n">
        <v>337</v>
      </c>
      <c r="F75" s="8" t="s">
        <v>657</v>
      </c>
      <c r="G75" s="8" t="s">
        <v>658</v>
      </c>
      <c r="H75" s="16" t="n">
        <f aca="false">INDEX(Scoring!$AO$5:$AO$87,MATCH($E75,Scoring!$A$5:$A$87,0))</f>
        <v>4</v>
      </c>
      <c r="I75" s="17" t="n">
        <f aca="false">INDEX(Scoring!$AP$5:$AP$87,MATCH($E75,Scoring!$A$5:$A$87,0))</f>
        <v>3</v>
      </c>
      <c r="J75" s="17" t="n">
        <f aca="false">INDEX(Scoring!$AQ$5:$AQ$87,MATCH($E75,Scoring!$A$5:$A$87,0))</f>
        <v>3.75</v>
      </c>
      <c r="K75" s="17" t="n">
        <f aca="false">INDEX(Scoring!$AR$5:$AR$87,MATCH($E75,Scoring!$A$5:$A$87,0))</f>
        <v>2.25</v>
      </c>
      <c r="L75" s="17" t="n">
        <f aca="false">INDEX(Scoring!$AS$5:$AS$87,MATCH($E75,Scoring!$A$5:$A$87,0))</f>
        <v>3</v>
      </c>
      <c r="M75" s="17" t="n">
        <f aca="false">INDEX(Scoring!$AT$5:$AT$87,MATCH($E75,Scoring!$A$5:$A$87,0))</f>
        <v>4.25</v>
      </c>
      <c r="N75" s="18" t="n">
        <f aca="false">INDEX(Scoring!$AU$5:$AU$87,MATCH($E75,Scoring!$A$5:$A$87,0))</f>
        <v>2.95833333333333</v>
      </c>
      <c r="O75" s="7" t="n">
        <f aca="false">INDEX(Scoring!$AN$5:$AN$87,MATCH($E75,Scoring!$A$5:$A$87,0))</f>
        <v>3</v>
      </c>
      <c r="P75" s="8" t="s">
        <v>1239</v>
      </c>
      <c r="Q75" s="8" t="s">
        <v>1240</v>
      </c>
      <c r="R75" s="8" t="s">
        <v>1078</v>
      </c>
      <c r="S75" s="23" t="s">
        <v>317</v>
      </c>
    </row>
    <row r="76" customFormat="false" ht="32.8" hidden="false" customHeight="false" outlineLevel="0" collapsed="false">
      <c r="A76" s="26" t="s">
        <v>1183</v>
      </c>
      <c r="B76" s="26" t="s">
        <v>1224</v>
      </c>
      <c r="C76" s="27" t="s">
        <v>1225</v>
      </c>
      <c r="D76" s="7" t="n">
        <v>8</v>
      </c>
      <c r="E76" s="7" t="n">
        <v>288</v>
      </c>
      <c r="F76" s="8" t="s">
        <v>388</v>
      </c>
      <c r="G76" s="8" t="s">
        <v>389</v>
      </c>
      <c r="H76" s="16" t="n">
        <f aca="false">INDEX(Scoring!$AO$5:$AO$87,MATCH($E76,Scoring!$A$5:$A$87,0))</f>
        <v>2</v>
      </c>
      <c r="I76" s="17" t="n">
        <f aca="false">INDEX(Scoring!$AP$5:$AP$87,MATCH($E76,Scoring!$A$5:$A$87,0))</f>
        <v>3.6</v>
      </c>
      <c r="J76" s="17" t="n">
        <f aca="false">INDEX(Scoring!$AQ$5:$AQ$87,MATCH($E76,Scoring!$A$5:$A$87,0))</f>
        <v>3.25</v>
      </c>
      <c r="K76" s="17" t="n">
        <f aca="false">INDEX(Scoring!$AR$5:$AR$87,MATCH($E76,Scoring!$A$5:$A$87,0))</f>
        <v>2.5</v>
      </c>
      <c r="L76" s="17" t="n">
        <f aca="false">INDEX(Scoring!$AS$5:$AS$87,MATCH($E76,Scoring!$A$5:$A$87,0))</f>
        <v>3.75</v>
      </c>
      <c r="M76" s="17" t="n">
        <f aca="false">INDEX(Scoring!$AT$5:$AT$87,MATCH($E76,Scoring!$A$5:$A$87,0))</f>
        <v>3.875</v>
      </c>
      <c r="N76" s="18" t="n">
        <f aca="false">INDEX(Scoring!$AU$5:$AU$87,MATCH($E76,Scoring!$A$5:$A$87,0))</f>
        <v>2.87083333333333</v>
      </c>
      <c r="O76" s="7" t="n">
        <f aca="false">INDEX(Scoring!$AN$5:$AN$87,MATCH($E76,Scoring!$A$5:$A$87,0))</f>
        <v>3</v>
      </c>
      <c r="P76" s="8" t="s">
        <v>1241</v>
      </c>
      <c r="Q76" s="8" t="s">
        <v>1242</v>
      </c>
      <c r="R76" s="8" t="s">
        <v>1078</v>
      </c>
      <c r="S76" s="23" t="s">
        <v>317</v>
      </c>
    </row>
    <row r="77" customFormat="false" ht="43.25" hidden="false" customHeight="false" outlineLevel="0" collapsed="false">
      <c r="A77" s="26" t="s">
        <v>1183</v>
      </c>
      <c r="B77" s="26" t="s">
        <v>1224</v>
      </c>
      <c r="C77" s="27" t="s">
        <v>1225</v>
      </c>
      <c r="D77" s="7" t="n">
        <v>9</v>
      </c>
      <c r="E77" s="7" t="n">
        <v>296</v>
      </c>
      <c r="F77" s="8" t="s">
        <v>499</v>
      </c>
      <c r="G77" s="8" t="s">
        <v>500</v>
      </c>
      <c r="H77" s="16" t="n">
        <f aca="false">INDEX(Scoring!$AO$5:$AO$87,MATCH($E77,Scoring!$A$5:$A$87,0))</f>
        <v>3</v>
      </c>
      <c r="I77" s="17" t="n">
        <f aca="false">INDEX(Scoring!$AP$5:$AP$87,MATCH($E77,Scoring!$A$5:$A$87,0))</f>
        <v>2.8</v>
      </c>
      <c r="J77" s="17" t="n">
        <f aca="false">INDEX(Scoring!$AQ$5:$AQ$87,MATCH($E77,Scoring!$A$5:$A$87,0))</f>
        <v>3.75</v>
      </c>
      <c r="K77" s="17" t="n">
        <f aca="false">INDEX(Scoring!$AR$5:$AR$87,MATCH($E77,Scoring!$A$5:$A$87,0))</f>
        <v>2.25</v>
      </c>
      <c r="L77" s="17" t="n">
        <f aca="false">INDEX(Scoring!$AS$5:$AS$87,MATCH($E77,Scoring!$A$5:$A$87,0))</f>
        <v>3</v>
      </c>
      <c r="M77" s="17" t="n">
        <f aca="false">INDEX(Scoring!$AT$5:$AT$87,MATCH($E77,Scoring!$A$5:$A$87,0))</f>
        <v>4</v>
      </c>
      <c r="N77" s="18" t="n">
        <f aca="false">INDEX(Scoring!$AU$5:$AU$87,MATCH($E77,Scoring!$A$5:$A$87,0))</f>
        <v>2.8</v>
      </c>
      <c r="O77" s="7" t="n">
        <f aca="false">INDEX(Scoring!$AN$5:$AN$87,MATCH($E77,Scoring!$A$5:$A$87,0))</f>
        <v>2</v>
      </c>
      <c r="P77" s="8" t="s">
        <v>1243</v>
      </c>
      <c r="Q77" s="8" t="s">
        <v>1244</v>
      </c>
      <c r="R77" s="8" t="s">
        <v>1081</v>
      </c>
      <c r="S77" s="23" t="s">
        <v>317</v>
      </c>
    </row>
    <row r="78" customFormat="false" ht="32.8" hidden="false" customHeight="false" outlineLevel="0" collapsed="false">
      <c r="A78" s="26" t="s">
        <v>1183</v>
      </c>
      <c r="B78" s="26" t="s">
        <v>1224</v>
      </c>
      <c r="C78" s="27" t="s">
        <v>1225</v>
      </c>
      <c r="D78" s="7" t="n">
        <v>10</v>
      </c>
      <c r="E78" s="7" t="n">
        <v>340</v>
      </c>
      <c r="F78" s="8" t="s">
        <v>776</v>
      </c>
      <c r="G78" s="8" t="s">
        <v>777</v>
      </c>
      <c r="H78" s="16" t="n">
        <f aca="false">INDEX(Scoring!$AO$5:$AO$87,MATCH($E78,Scoring!$A$5:$A$87,0))</f>
        <v>1</v>
      </c>
      <c r="I78" s="17" t="n">
        <f aca="false">INDEX(Scoring!$AP$5:$AP$87,MATCH($E78,Scoring!$A$5:$A$87,0))</f>
        <v>3.2</v>
      </c>
      <c r="J78" s="17" t="n">
        <f aca="false">INDEX(Scoring!$AQ$5:$AQ$87,MATCH($E78,Scoring!$A$5:$A$87,0))</f>
        <v>3.25</v>
      </c>
      <c r="K78" s="17" t="n">
        <f aca="false">INDEX(Scoring!$AR$5:$AR$87,MATCH($E78,Scoring!$A$5:$A$87,0))</f>
        <v>2.25</v>
      </c>
      <c r="L78" s="17" t="n">
        <f aca="false">INDEX(Scoring!$AS$5:$AS$87,MATCH($E78,Scoring!$A$5:$A$87,0))</f>
        <v>3.25</v>
      </c>
      <c r="M78" s="17" t="n">
        <f aca="false">INDEX(Scoring!$AT$5:$AT$87,MATCH($E78,Scoring!$A$5:$A$87,0))</f>
        <v>2.25</v>
      </c>
      <c r="N78" s="18" t="n">
        <f aca="false">INDEX(Scoring!$AU$5:$AU$87,MATCH($E78,Scoring!$A$5:$A$87,0))</f>
        <v>2.78333333333333</v>
      </c>
      <c r="O78" s="7" t="n">
        <f aca="false">INDEX(Scoring!$AN$5:$AN$87,MATCH($E78,Scoring!$A$5:$A$87,0))</f>
        <v>3</v>
      </c>
      <c r="P78" s="8" t="s">
        <v>1245</v>
      </c>
      <c r="Q78" s="8" t="s">
        <v>1246</v>
      </c>
      <c r="R78" s="8" t="s">
        <v>1078</v>
      </c>
      <c r="S78" s="23" t="s">
        <v>317</v>
      </c>
    </row>
    <row r="79" customFormat="false" ht="43.25" hidden="false" customHeight="false" outlineLevel="0" collapsed="false">
      <c r="A79" s="26" t="s">
        <v>1183</v>
      </c>
      <c r="B79" s="26" t="s">
        <v>1224</v>
      </c>
      <c r="C79" s="27" t="s">
        <v>1225</v>
      </c>
      <c r="D79" s="7" t="n">
        <v>11</v>
      </c>
      <c r="E79" s="7" t="n">
        <v>350</v>
      </c>
      <c r="F79" s="8" t="s">
        <v>751</v>
      </c>
      <c r="G79" s="8" t="s">
        <v>907</v>
      </c>
      <c r="H79" s="16" t="n">
        <f aca="false">INDEX(Scoring!$AO$5:$AO$87,MATCH($E79,Scoring!$A$5:$A$87,0))</f>
        <v>2</v>
      </c>
      <c r="I79" s="17" t="n">
        <f aca="false">INDEX(Scoring!$AP$5:$AP$87,MATCH($E79,Scoring!$A$5:$A$87,0))</f>
        <v>3.8</v>
      </c>
      <c r="J79" s="17" t="n">
        <f aca="false">INDEX(Scoring!$AQ$5:$AQ$87,MATCH($E79,Scoring!$A$5:$A$87,0))</f>
        <v>3</v>
      </c>
      <c r="K79" s="17" t="n">
        <f aca="false">INDEX(Scoring!$AR$5:$AR$87,MATCH($E79,Scoring!$A$5:$A$87,0))</f>
        <v>2.5</v>
      </c>
      <c r="L79" s="17" t="n">
        <f aca="false">INDEX(Scoring!$AS$5:$AS$87,MATCH($E79,Scoring!$A$5:$A$87,0))</f>
        <v>3.75</v>
      </c>
      <c r="M79" s="17" t="n">
        <f aca="false">INDEX(Scoring!$AT$5:$AT$87,MATCH($E79,Scoring!$A$5:$A$87,0))</f>
        <v>4.375</v>
      </c>
      <c r="N79" s="18" t="n">
        <f aca="false">INDEX(Scoring!$AU$5:$AU$87,MATCH($E79,Scoring!$A$5:$A$87,0))</f>
        <v>2.77916666666667</v>
      </c>
      <c r="O79" s="7" t="n">
        <f aca="false">INDEX(Scoring!$AN$5:$AN$87,MATCH($E79,Scoring!$A$5:$A$87,0))</f>
        <v>1</v>
      </c>
      <c r="P79" s="8" t="s">
        <v>1247</v>
      </c>
      <c r="Q79" s="8" t="s">
        <v>1248</v>
      </c>
      <c r="R79" s="8" t="s">
        <v>1081</v>
      </c>
      <c r="S79" s="23" t="s">
        <v>317</v>
      </c>
    </row>
    <row r="80" customFormat="false" ht="22.35" hidden="false" customHeight="false" outlineLevel="0" collapsed="false">
      <c r="A80" s="26" t="s">
        <v>1183</v>
      </c>
      <c r="B80" s="26" t="s">
        <v>1224</v>
      </c>
      <c r="C80" s="27" t="s">
        <v>1225</v>
      </c>
      <c r="D80" s="7" t="n">
        <v>12</v>
      </c>
      <c r="E80" s="7" t="n">
        <v>334</v>
      </c>
      <c r="F80" s="8" t="s">
        <v>765</v>
      </c>
      <c r="G80" s="8" t="s">
        <v>766</v>
      </c>
      <c r="H80" s="16" t="n">
        <f aca="false">INDEX(Scoring!$AO$5:$AO$87,MATCH($E80,Scoring!$A$5:$A$87,0))</f>
        <v>1</v>
      </c>
      <c r="I80" s="17" t="n">
        <f aca="false">INDEX(Scoring!$AP$5:$AP$87,MATCH($E80,Scoring!$A$5:$A$87,0))</f>
        <v>3</v>
      </c>
      <c r="J80" s="17" t="n">
        <f aca="false">INDEX(Scoring!$AQ$5:$AQ$87,MATCH($E80,Scoring!$A$5:$A$87,0))</f>
        <v>2.75</v>
      </c>
      <c r="K80" s="17" t="n">
        <f aca="false">INDEX(Scoring!$AR$5:$AR$87,MATCH($E80,Scoring!$A$5:$A$87,0))</f>
        <v>1.75</v>
      </c>
      <c r="L80" s="17" t="n">
        <f aca="false">INDEX(Scoring!$AS$5:$AS$87,MATCH($E80,Scoring!$A$5:$A$87,0))</f>
        <v>3.25</v>
      </c>
      <c r="M80" s="17" t="n">
        <f aca="false">INDEX(Scoring!$AT$5:$AT$87,MATCH($E80,Scoring!$A$5:$A$87,0))</f>
        <v>3.25</v>
      </c>
      <c r="N80" s="18" t="n">
        <f aca="false">INDEX(Scoring!$AU$5:$AU$87,MATCH($E80,Scoring!$A$5:$A$87,0))</f>
        <v>2.41666666666667</v>
      </c>
      <c r="O80" s="7" t="n">
        <f aca="false">INDEX(Scoring!$AN$5:$AN$87,MATCH($E80,Scoring!$A$5:$A$87,0))</f>
        <v>2</v>
      </c>
      <c r="P80" s="8" t="s">
        <v>1249</v>
      </c>
      <c r="Q80" s="8" t="s">
        <v>1250</v>
      </c>
      <c r="R80" s="8" t="s">
        <v>1213</v>
      </c>
      <c r="S80" s="23" t="s">
        <v>317</v>
      </c>
    </row>
    <row r="81" customFormat="false" ht="43.25" hidden="false" customHeight="false" outlineLevel="0" collapsed="false">
      <c r="A81" s="26" t="s">
        <v>1183</v>
      </c>
      <c r="B81" s="26" t="s">
        <v>1224</v>
      </c>
      <c r="C81" s="27" t="s">
        <v>1225</v>
      </c>
      <c r="D81" s="7" t="n">
        <v>13</v>
      </c>
      <c r="E81" s="7" t="n">
        <v>357</v>
      </c>
      <c r="F81" s="8" t="s">
        <v>859</v>
      </c>
      <c r="G81" s="8" t="s">
        <v>860</v>
      </c>
      <c r="H81" s="16" t="n">
        <f aca="false">INDEX(Scoring!$AO$5:$AO$87,MATCH($E81,Scoring!$A$5:$A$87,0))</f>
        <v>2</v>
      </c>
      <c r="I81" s="17" t="n">
        <f aca="false">INDEX(Scoring!$AP$5:$AP$87,MATCH($E81,Scoring!$A$5:$A$87,0))</f>
        <v>2.2</v>
      </c>
      <c r="J81" s="17" t="n">
        <f aca="false">INDEX(Scoring!$AQ$5:$AQ$87,MATCH($E81,Scoring!$A$5:$A$87,0))</f>
        <v>2.25</v>
      </c>
      <c r="K81" s="17" t="n">
        <f aca="false">INDEX(Scoring!$AR$5:$AR$87,MATCH($E81,Scoring!$A$5:$A$87,0))</f>
        <v>3</v>
      </c>
      <c r="L81" s="17" t="n">
        <f aca="false">INDEX(Scoring!$AS$5:$AS$87,MATCH($E81,Scoring!$A$5:$A$87,0))</f>
        <v>3.5</v>
      </c>
      <c r="M81" s="17" t="n">
        <f aca="false">INDEX(Scoring!$AT$5:$AT$87,MATCH($E81,Scoring!$A$5:$A$87,0))</f>
        <v>4.5</v>
      </c>
      <c r="N81" s="18" t="n">
        <f aca="false">INDEX(Scoring!$AU$5:$AU$87,MATCH($E81,Scoring!$A$5:$A$87,0))</f>
        <v>2.40833333333333</v>
      </c>
      <c r="O81" s="7" t="n">
        <f aca="false">INDEX(Scoring!$AN$5:$AN$87,MATCH($E81,Scoring!$A$5:$A$87,0))</f>
        <v>2</v>
      </c>
      <c r="P81" s="8" t="s">
        <v>1251</v>
      </c>
      <c r="Q81" s="8" t="s">
        <v>1252</v>
      </c>
      <c r="R81" s="8" t="s">
        <v>1081</v>
      </c>
      <c r="S81" s="23" t="s">
        <v>317</v>
      </c>
    </row>
    <row r="82" customFormat="false" ht="32.8" hidden="false" customHeight="false" outlineLevel="0" collapsed="false">
      <c r="A82" s="26" t="s">
        <v>1183</v>
      </c>
      <c r="B82" s="26" t="s">
        <v>1224</v>
      </c>
      <c r="C82" s="27" t="s">
        <v>1225</v>
      </c>
      <c r="D82" s="7" t="n">
        <v>14</v>
      </c>
      <c r="E82" s="7" t="n">
        <v>280</v>
      </c>
      <c r="F82" s="8" t="s">
        <v>376</v>
      </c>
      <c r="G82" s="8" t="s">
        <v>377</v>
      </c>
      <c r="H82" s="16" t="n">
        <f aca="false">INDEX(Scoring!$AO$5:$AO$87,MATCH($E82,Scoring!$A$5:$A$87,0))</f>
        <v>2</v>
      </c>
      <c r="I82" s="17" t="n">
        <f aca="false">INDEX(Scoring!$AP$5:$AP$87,MATCH($E82,Scoring!$A$5:$A$87,0))</f>
        <v>2</v>
      </c>
      <c r="J82" s="17" t="n">
        <f aca="false">INDEX(Scoring!$AQ$5:$AQ$87,MATCH($E82,Scoring!$A$5:$A$87,0))</f>
        <v>2</v>
      </c>
      <c r="K82" s="17" t="n">
        <f aca="false">INDEX(Scoring!$AR$5:$AR$87,MATCH($E82,Scoring!$A$5:$A$87,0))</f>
        <v>2.25</v>
      </c>
      <c r="L82" s="17" t="n">
        <f aca="false">INDEX(Scoring!$AS$5:$AS$87,MATCH($E82,Scoring!$A$5:$A$87,0))</f>
        <v>3</v>
      </c>
      <c r="M82" s="17" t="n">
        <f aca="false">INDEX(Scoring!$AT$5:$AT$87,MATCH($E82,Scoring!$A$5:$A$87,0))</f>
        <v>3.375</v>
      </c>
      <c r="N82" s="18" t="n">
        <f aca="false">INDEX(Scoring!$AU$5:$AU$87,MATCH($E82,Scoring!$A$5:$A$87,0))</f>
        <v>2.3125</v>
      </c>
      <c r="O82" s="7" t="n">
        <f aca="false">INDEX(Scoring!$AN$5:$AN$87,MATCH($E82,Scoring!$A$5:$A$87,0))</f>
        <v>2</v>
      </c>
      <c r="P82" s="8" t="s">
        <v>1253</v>
      </c>
      <c r="Q82" s="8" t="s">
        <v>1250</v>
      </c>
      <c r="R82" s="8" t="s">
        <v>1078</v>
      </c>
      <c r="S82" s="23" t="s">
        <v>317</v>
      </c>
    </row>
    <row r="83" customFormat="false" ht="32.8" hidden="false" customHeight="false" outlineLevel="0" collapsed="false">
      <c r="A83" s="26" t="s">
        <v>1183</v>
      </c>
      <c r="B83" s="26" t="s">
        <v>1224</v>
      </c>
      <c r="C83" s="27" t="s">
        <v>1225</v>
      </c>
      <c r="D83" s="7" t="n">
        <v>15</v>
      </c>
      <c r="E83" s="7" t="n">
        <v>310</v>
      </c>
      <c r="F83" s="8" t="s">
        <v>835</v>
      </c>
      <c r="G83" s="8" t="s">
        <v>836</v>
      </c>
      <c r="H83" s="16" t="n">
        <f aca="false">INDEX(Scoring!$AO$5:$AO$87,MATCH($E83,Scoring!$A$5:$A$87,0))</f>
        <v>2</v>
      </c>
      <c r="I83" s="17" t="n">
        <f aca="false">INDEX(Scoring!$AP$5:$AP$87,MATCH($E83,Scoring!$A$5:$A$87,0))</f>
        <v>3</v>
      </c>
      <c r="J83" s="17" t="n">
        <f aca="false">INDEX(Scoring!$AQ$5:$AQ$87,MATCH($E83,Scoring!$A$5:$A$87,0))</f>
        <v>2</v>
      </c>
      <c r="K83" s="17" t="n">
        <f aca="false">INDEX(Scoring!$AR$5:$AR$87,MATCH($E83,Scoring!$A$5:$A$87,0))</f>
        <v>2</v>
      </c>
      <c r="L83" s="17" t="n">
        <f aca="false">INDEX(Scoring!$AS$5:$AS$87,MATCH($E83,Scoring!$A$5:$A$87,0))</f>
        <v>3</v>
      </c>
      <c r="M83" s="17" t="n">
        <f aca="false">INDEX(Scoring!$AT$5:$AT$87,MATCH($E83,Scoring!$A$5:$A$87,0))</f>
        <v>4.5</v>
      </c>
      <c r="N83" s="18" t="n">
        <f aca="false">INDEX(Scoring!$AU$5:$AU$87,MATCH($E83,Scoring!$A$5:$A$87,0))</f>
        <v>2.25</v>
      </c>
      <c r="O83" s="7" t="n">
        <f aca="false">INDEX(Scoring!$AN$5:$AN$87,MATCH($E83,Scoring!$A$5:$A$87,0))</f>
        <v>2</v>
      </c>
      <c r="P83" s="8" t="s">
        <v>1254</v>
      </c>
      <c r="Q83" s="8" t="s">
        <v>1250</v>
      </c>
      <c r="R83" s="8" t="s">
        <v>1081</v>
      </c>
      <c r="S83" s="23" t="s">
        <v>317</v>
      </c>
    </row>
    <row r="84" customFormat="false" ht="32.8" hidden="false" customHeight="false" outlineLevel="0" collapsed="false">
      <c r="A84" s="26" t="s">
        <v>1183</v>
      </c>
      <c r="B84" s="26" t="s">
        <v>1224</v>
      </c>
      <c r="C84" s="27" t="s">
        <v>1225</v>
      </c>
      <c r="D84" s="7" t="n">
        <v>16</v>
      </c>
      <c r="E84" s="7" t="n">
        <v>352</v>
      </c>
      <c r="F84" s="8" t="s">
        <v>803</v>
      </c>
      <c r="G84" s="8" t="s">
        <v>804</v>
      </c>
      <c r="H84" s="16" t="n">
        <f aca="false">INDEX(Scoring!$AO$5:$AO$87,MATCH($E84,Scoring!$A$5:$A$87,0))</f>
        <v>1</v>
      </c>
      <c r="I84" s="17" t="n">
        <f aca="false">INDEX(Scoring!$AP$5:$AP$87,MATCH($E84,Scoring!$A$5:$A$87,0))</f>
        <v>2.2</v>
      </c>
      <c r="J84" s="17" t="n">
        <f aca="false">INDEX(Scoring!$AQ$5:$AQ$87,MATCH($E84,Scoring!$A$5:$A$87,0))</f>
        <v>2</v>
      </c>
      <c r="K84" s="17" t="n">
        <f aca="false">INDEX(Scoring!$AR$5:$AR$87,MATCH($E84,Scoring!$A$5:$A$87,0))</f>
        <v>2.5</v>
      </c>
      <c r="L84" s="17" t="n">
        <f aca="false">INDEX(Scoring!$AS$5:$AS$87,MATCH($E84,Scoring!$A$5:$A$87,0))</f>
        <v>2.75</v>
      </c>
      <c r="M84" s="17" t="n">
        <f aca="false">INDEX(Scoring!$AT$5:$AT$87,MATCH($E84,Scoring!$A$5:$A$87,0))</f>
        <v>3.5</v>
      </c>
      <c r="N84" s="18" t="n">
        <f aca="false">INDEX(Scoring!$AU$5:$AU$87,MATCH($E84,Scoring!$A$5:$A$87,0))</f>
        <v>2.15833333333333</v>
      </c>
      <c r="O84" s="7" t="n">
        <f aca="false">INDEX(Scoring!$AN$5:$AN$87,MATCH($E84,Scoring!$A$5:$A$87,0))</f>
        <v>2</v>
      </c>
      <c r="P84" s="8" t="s">
        <v>1255</v>
      </c>
      <c r="Q84" s="8" t="s">
        <v>1250</v>
      </c>
      <c r="R84" s="8" t="s">
        <v>1081</v>
      </c>
      <c r="S84" s="23" t="s">
        <v>317</v>
      </c>
    </row>
    <row r="85" customFormat="false" ht="32.8" hidden="false" customHeight="false" outlineLevel="0" collapsed="false">
      <c r="A85" s="26" t="s">
        <v>1183</v>
      </c>
      <c r="B85" s="26" t="s">
        <v>1224</v>
      </c>
      <c r="C85" s="27" t="s">
        <v>1225</v>
      </c>
      <c r="D85" s="7" t="n">
        <v>17</v>
      </c>
      <c r="E85" s="7" t="n">
        <v>279</v>
      </c>
      <c r="F85" s="8" t="s">
        <v>376</v>
      </c>
      <c r="G85" s="8" t="s">
        <v>736</v>
      </c>
      <c r="H85" s="16" t="n">
        <f aca="false">INDEX(Scoring!$AO$5:$AO$87,MATCH($E85,Scoring!$A$5:$A$87,0))</f>
        <v>1</v>
      </c>
      <c r="I85" s="17" t="n">
        <f aca="false">INDEX(Scoring!$AP$5:$AP$87,MATCH($E85,Scoring!$A$5:$A$87,0))</f>
        <v>2</v>
      </c>
      <c r="J85" s="17" t="n">
        <f aca="false">INDEX(Scoring!$AQ$5:$AQ$87,MATCH($E85,Scoring!$A$5:$A$87,0))</f>
        <v>2</v>
      </c>
      <c r="K85" s="17" t="n">
        <f aca="false">INDEX(Scoring!$AR$5:$AR$87,MATCH($E85,Scoring!$A$5:$A$87,0))</f>
        <v>2.25</v>
      </c>
      <c r="L85" s="17" t="n">
        <f aca="false">INDEX(Scoring!$AS$5:$AS$87,MATCH($E85,Scoring!$A$5:$A$87,0))</f>
        <v>2.5</v>
      </c>
      <c r="M85" s="17" t="n">
        <f aca="false">INDEX(Scoring!$AT$5:$AT$87,MATCH($E85,Scoring!$A$5:$A$87,0))</f>
        <v>2.875</v>
      </c>
      <c r="N85" s="18" t="n">
        <f aca="false">INDEX(Scoring!$AU$5:$AU$87,MATCH($E85,Scoring!$A$5:$A$87,0))</f>
        <v>2.14583333333333</v>
      </c>
      <c r="O85" s="7" t="n">
        <f aca="false">INDEX(Scoring!$AN$5:$AN$87,MATCH($E85,Scoring!$A$5:$A$87,0))</f>
        <v>2</v>
      </c>
      <c r="P85" s="8" t="s">
        <v>1256</v>
      </c>
      <c r="Q85" s="8" t="s">
        <v>1257</v>
      </c>
      <c r="R85" s="8" t="s">
        <v>1078</v>
      </c>
      <c r="S85" s="23" t="s">
        <v>317</v>
      </c>
    </row>
    <row r="86" customFormat="false" ht="43.25" hidden="false" customHeight="false" outlineLevel="0" collapsed="false">
      <c r="A86" s="26" t="s">
        <v>1183</v>
      </c>
      <c r="B86" s="26" t="s">
        <v>1224</v>
      </c>
      <c r="C86" s="27" t="s">
        <v>1225</v>
      </c>
      <c r="D86" s="7" t="n">
        <v>18</v>
      </c>
      <c r="E86" s="7" t="n">
        <v>330</v>
      </c>
      <c r="F86" s="8" t="s">
        <v>884</v>
      </c>
      <c r="G86" s="8" t="s">
        <v>1258</v>
      </c>
      <c r="H86" s="16" t="n">
        <f aca="false">INDEX(Scoring!$AO$5:$AO$87,MATCH($E86,Scoring!$A$5:$A$87,0))</f>
        <v>1</v>
      </c>
      <c r="I86" s="17" t="n">
        <f aca="false">INDEX(Scoring!$AP$5:$AP$87,MATCH($E86,Scoring!$A$5:$A$87,0))</f>
        <v>2.2</v>
      </c>
      <c r="J86" s="17" t="n">
        <f aca="false">INDEX(Scoring!$AQ$5:$AQ$87,MATCH($E86,Scoring!$A$5:$A$87,0))</f>
        <v>2</v>
      </c>
      <c r="K86" s="17" t="n">
        <f aca="false">INDEX(Scoring!$AR$5:$AR$87,MATCH($E86,Scoring!$A$5:$A$87,0))</f>
        <v>2.75</v>
      </c>
      <c r="L86" s="17" t="n">
        <f aca="false">INDEX(Scoring!$AS$5:$AS$87,MATCH($E86,Scoring!$A$5:$A$87,0))</f>
        <v>2.25</v>
      </c>
      <c r="M86" s="17" t="n">
        <f aca="false">INDEX(Scoring!$AT$5:$AT$87,MATCH($E86,Scoring!$A$5:$A$87,0))</f>
        <v>3.75</v>
      </c>
      <c r="N86" s="18" t="n">
        <f aca="false">INDEX(Scoring!$AU$5:$AU$87,MATCH($E86,Scoring!$A$5:$A$87,0))</f>
        <v>2.075</v>
      </c>
      <c r="O86" s="7" t="n">
        <f aca="false">INDEX(Scoring!$AN$5:$AN$87,MATCH($E86,Scoring!$A$5:$A$87,0))</f>
        <v>1</v>
      </c>
      <c r="P86" s="8" t="s">
        <v>1259</v>
      </c>
      <c r="Q86" s="8" t="s">
        <v>1260</v>
      </c>
      <c r="R86" s="8" t="s">
        <v>1081</v>
      </c>
      <c r="S86" s="23" t="s">
        <v>317</v>
      </c>
    </row>
    <row r="87" customFormat="false" ht="43.25" hidden="false" customHeight="false" outlineLevel="0" collapsed="false">
      <c r="A87" s="26" t="s">
        <v>1183</v>
      </c>
      <c r="B87" s="26" t="s">
        <v>1261</v>
      </c>
      <c r="C87" s="27" t="s">
        <v>1262</v>
      </c>
      <c r="D87" s="7" t="n">
        <v>1</v>
      </c>
      <c r="E87" s="7" t="n">
        <v>293</v>
      </c>
      <c r="F87" s="8" t="s">
        <v>601</v>
      </c>
      <c r="G87" s="8" t="s">
        <v>602</v>
      </c>
      <c r="H87" s="16" t="n">
        <f aca="false">INDEX(Scoring!$AO$5:$AO$87,MATCH($E87,Scoring!$A$5:$A$87,0))</f>
        <v>3</v>
      </c>
      <c r="I87" s="17" t="n">
        <f aca="false">INDEX(Scoring!$AP$5:$AP$87,MATCH($E87,Scoring!$A$5:$A$87,0))</f>
        <v>3.2</v>
      </c>
      <c r="J87" s="17" t="n">
        <f aca="false">INDEX(Scoring!$AQ$5:$AQ$87,MATCH($E87,Scoring!$A$5:$A$87,0))</f>
        <v>2.75</v>
      </c>
      <c r="K87" s="17" t="n">
        <f aca="false">INDEX(Scoring!$AR$5:$AR$87,MATCH($E87,Scoring!$A$5:$A$87,0))</f>
        <v>3.5</v>
      </c>
      <c r="L87" s="17" t="n">
        <f aca="false">INDEX(Scoring!$AS$5:$AS$87,MATCH($E87,Scoring!$A$5:$A$87,0))</f>
        <v>4.5</v>
      </c>
      <c r="M87" s="17" t="n">
        <f aca="false">INDEX(Scoring!$AT$5:$AT$87,MATCH($E87,Scoring!$A$5:$A$87,0))</f>
        <v>3.375</v>
      </c>
      <c r="N87" s="18" t="n">
        <f aca="false">INDEX(Scoring!$AU$5:$AU$87,MATCH($E87,Scoring!$A$5:$A$87,0))</f>
        <v>3.2625</v>
      </c>
      <c r="O87" s="7" t="n">
        <f aca="false">INDEX(Scoring!$AN$5:$AN$87,MATCH($E87,Scoring!$A$5:$A$87,0))</f>
        <v>2</v>
      </c>
      <c r="P87" s="8" t="s">
        <v>1263</v>
      </c>
      <c r="Q87" s="8" t="s">
        <v>1264</v>
      </c>
      <c r="R87" s="8" t="s">
        <v>1078</v>
      </c>
      <c r="S87" s="23" t="s">
        <v>317</v>
      </c>
    </row>
  </sheetData>
  <autoFilter ref="A4:S87"/>
  <mergeCells count="1">
    <mergeCell ref="A2:N2"/>
  </mergeCells>
  <conditionalFormatting sqref="H5:H87">
    <cfRule type="colorScale" priority="2">
      <colorScale>
        <cfvo type="num" val="1"/>
        <cfvo type="num" val="3"/>
        <cfvo type="num" val="5"/>
        <color rgb="FFF8CBAD"/>
        <color rgb="FFFFFFFF"/>
        <color rgb="FFC6E0B4"/>
      </colorScale>
    </cfRule>
  </conditionalFormatting>
  <conditionalFormatting sqref="I5:I87">
    <cfRule type="colorScale" priority="3">
      <colorScale>
        <cfvo type="num" val="1"/>
        <cfvo type="num" val="3"/>
        <cfvo type="num" val="5"/>
        <color rgb="FFF8CBAD"/>
        <color rgb="FFFFFFFF"/>
        <color rgb="FFC6E0B4"/>
      </colorScale>
    </cfRule>
  </conditionalFormatting>
  <conditionalFormatting sqref="J5:J87">
    <cfRule type="colorScale" priority="4">
      <colorScale>
        <cfvo type="num" val="1"/>
        <cfvo type="num" val="3"/>
        <cfvo type="num" val="5"/>
        <color rgb="FFF8CBAD"/>
        <color rgb="FFFFFFFF"/>
        <color rgb="FFC6E0B4"/>
      </colorScale>
    </cfRule>
  </conditionalFormatting>
  <conditionalFormatting sqref="K5:K87">
    <cfRule type="colorScale" priority="5">
      <colorScale>
        <cfvo type="num" val="1"/>
        <cfvo type="num" val="3"/>
        <cfvo type="num" val="5"/>
        <color rgb="FFF8CBAD"/>
        <color rgb="FFFFFFFF"/>
        <color rgb="FFC6E0B4"/>
      </colorScale>
    </cfRule>
  </conditionalFormatting>
  <conditionalFormatting sqref="L5:L87">
    <cfRule type="colorScale" priority="6">
      <colorScale>
        <cfvo type="num" val="1"/>
        <cfvo type="num" val="3"/>
        <cfvo type="num" val="5"/>
        <color rgb="FFF8CBAD"/>
        <color rgb="FFFFFFFF"/>
        <color rgb="FFC6E0B4"/>
      </colorScale>
    </cfRule>
  </conditionalFormatting>
  <conditionalFormatting sqref="M5:M87">
    <cfRule type="colorScale" priority="7">
      <colorScale>
        <cfvo type="num" val="1"/>
        <cfvo type="num" val="3"/>
        <cfvo type="num" val="5"/>
        <color rgb="FFC6E0B4"/>
        <color rgb="FFFFFFFF"/>
        <color rgb="FFF8CBAD"/>
      </colorScale>
    </cfRule>
  </conditionalFormatting>
  <conditionalFormatting sqref="N5:N87">
    <cfRule type="colorScale" priority="8">
      <colorScale>
        <cfvo type="num" val="1"/>
        <cfvo type="num" val="3"/>
        <cfvo type="num" val="5"/>
        <color rgb="FFF8CBAD"/>
        <color rgb="FFFFFFFF"/>
        <color rgb="FFC6E0B4"/>
      </colorScale>
    </cfRule>
  </conditionalFormatting>
  <hyperlinks>
    <hyperlink ref="S5" r:id="rId1" display="Ouvrir le PDF"/>
    <hyperlink ref="S6" r:id="rId2" display="Ouvrir le PDF"/>
    <hyperlink ref="S7" r:id="rId3" display="Ouvrir le PDF"/>
    <hyperlink ref="S8" r:id="rId4" display="Ouvrir le PDF"/>
    <hyperlink ref="S9" r:id="rId5" display="Ouvrir le PDF"/>
    <hyperlink ref="S10" r:id="rId6" display="Ouvrir le PDF"/>
    <hyperlink ref="S11" r:id="rId7" display="Ouvrir le PDF"/>
    <hyperlink ref="S12" r:id="rId8" display="Ouvrir le PDF"/>
    <hyperlink ref="S13" r:id="rId9" display="Ouvrir le PDF"/>
    <hyperlink ref="S14" r:id="rId10" display="Ouvrir le PDF"/>
    <hyperlink ref="S15" r:id="rId11" display="Ouvrir le PDF"/>
    <hyperlink ref="S16" r:id="rId12" display="Ouvrir le PDF"/>
    <hyperlink ref="S17" r:id="rId13" display="Ouvrir le PDF"/>
    <hyperlink ref="S18" r:id="rId14" display="Ouvrir le PDF"/>
    <hyperlink ref="S19" r:id="rId15" display="Ouvrir le PDF"/>
    <hyperlink ref="S20" r:id="rId16" display="Ouvrir le PDF"/>
    <hyperlink ref="S21" r:id="rId17" display="Ouvrir le PDF"/>
    <hyperlink ref="S22" r:id="rId18" display="Ouvrir le PDF"/>
    <hyperlink ref="S23" r:id="rId19" display="Ouvrir le PDF"/>
    <hyperlink ref="S24" r:id="rId20" display="Ouvrir le PDF"/>
    <hyperlink ref="S25" r:id="rId21" display="Ouvrir le PDF"/>
    <hyperlink ref="S26" r:id="rId22" display="Ouvrir le PDF"/>
    <hyperlink ref="S27" r:id="rId23" display="Ouvrir le PDF"/>
    <hyperlink ref="S28" r:id="rId24" display="Ouvrir le PDF"/>
    <hyperlink ref="S29" r:id="rId25" display="Ouvrir le PDF"/>
    <hyperlink ref="S30" r:id="rId26" display="Ouvrir le PDF"/>
    <hyperlink ref="S31" r:id="rId27" display="Ouvrir le PDF"/>
    <hyperlink ref="S32" r:id="rId28" display="Ouvrir le PDF"/>
    <hyperlink ref="S33" r:id="rId29" display="Ouvrir le PDF"/>
    <hyperlink ref="S34" r:id="rId30" display="Ouvrir le PDF"/>
    <hyperlink ref="S35" r:id="rId31" display="Ouvrir le PDF"/>
    <hyperlink ref="S36" r:id="rId32" display="Ouvrir le PDF"/>
    <hyperlink ref="S37" r:id="rId33" display="Ouvrir le PDF"/>
    <hyperlink ref="S38" r:id="rId34" display="Ouvrir le PDF"/>
    <hyperlink ref="S39" r:id="rId35" display="Ouvrir le PDF"/>
    <hyperlink ref="S40" r:id="rId36" display="Ouvrir le PDF"/>
    <hyperlink ref="S41" r:id="rId37" display="Ouvrir le PDF"/>
    <hyperlink ref="S42" r:id="rId38" display="Ouvrir le PDF"/>
    <hyperlink ref="S43" r:id="rId39" display="Ouvrir le PDF"/>
    <hyperlink ref="S44" r:id="rId40" display="Ouvrir le PDF"/>
    <hyperlink ref="S45" r:id="rId41" display="Ouvrir le PDF"/>
    <hyperlink ref="S46" r:id="rId42" display="Ouvrir le PDF"/>
    <hyperlink ref="S47" r:id="rId43" display="Ouvrir le PDF"/>
    <hyperlink ref="S48" r:id="rId44" display="Ouvrir le PDF"/>
    <hyperlink ref="S49" r:id="rId45" display="Ouvrir le PDF"/>
    <hyperlink ref="S50" r:id="rId46" display="Ouvrir le PDF"/>
    <hyperlink ref="S51" r:id="rId47" display="Ouvrir le PDF"/>
    <hyperlink ref="S52" r:id="rId48" display="Ouvrir le PDF"/>
    <hyperlink ref="S53" r:id="rId49" display="Ouvrir le PDF"/>
    <hyperlink ref="S54" r:id="rId50" display="Ouvrir le PDF"/>
    <hyperlink ref="S55" r:id="rId51" display="Ouvrir le PDF"/>
    <hyperlink ref="S56" r:id="rId52" display="Ouvrir le PDF"/>
    <hyperlink ref="S57" r:id="rId53" display="Ouvrir le PDF"/>
    <hyperlink ref="S58" r:id="rId54" display="Ouvrir le PDF"/>
    <hyperlink ref="S59" r:id="rId55" display="Ouvrir le PDF"/>
    <hyperlink ref="S60" r:id="rId56" display="Ouvrir le PDF"/>
    <hyperlink ref="S61" r:id="rId57" display="Ouvrir le PDF"/>
    <hyperlink ref="S62" r:id="rId58" display="Ouvrir le PDF"/>
    <hyperlink ref="S63" r:id="rId59" display="Ouvrir le PDF"/>
    <hyperlink ref="S64" r:id="rId60" display="Ouvrir le PDF"/>
    <hyperlink ref="S65" r:id="rId61" display="Ouvrir le PDF"/>
    <hyperlink ref="S66" r:id="rId62" display="Ouvrir le PDF"/>
    <hyperlink ref="S67" r:id="rId63" display="Ouvrir le PDF"/>
    <hyperlink ref="S68" r:id="rId64" display="Ouvrir le PDF"/>
    <hyperlink ref="S69" r:id="rId65" display="Ouvrir le PDF"/>
    <hyperlink ref="S70" r:id="rId66" display="Ouvrir le PDF"/>
    <hyperlink ref="S71" r:id="rId67" display="Ouvrir le PDF"/>
    <hyperlink ref="S72" r:id="rId68" display="Ouvrir le PDF"/>
    <hyperlink ref="S73" r:id="rId69" display="Ouvrir le PDF"/>
    <hyperlink ref="S74" r:id="rId70" display="Ouvrir le PDF"/>
    <hyperlink ref="S75" r:id="rId71" display="Ouvrir le PDF"/>
    <hyperlink ref="S76" r:id="rId72" display="Ouvrir le PDF"/>
    <hyperlink ref="S77" r:id="rId73" display="Ouvrir le PDF"/>
    <hyperlink ref="S78" r:id="rId74" display="Ouvrir le PDF"/>
    <hyperlink ref="S79" r:id="rId75" display="Ouvrir le PDF"/>
    <hyperlink ref="S80" r:id="rId76" display="Ouvrir le PDF"/>
    <hyperlink ref="S81" r:id="rId77" display="Ouvrir le PDF"/>
    <hyperlink ref="S82" r:id="rId78" display="Ouvrir le PDF"/>
    <hyperlink ref="S83" r:id="rId79" display="Ouvrir le PDF"/>
    <hyperlink ref="S84" r:id="rId80" display="Ouvrir le PDF"/>
    <hyperlink ref="S85" r:id="rId81" display="Ouvrir le PDF"/>
    <hyperlink ref="S86" r:id="rId82" display="Ouvrir le PDF"/>
    <hyperlink ref="S87" r:id="rId83" display="Ouvrir le 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8"/>
    <col collapsed="false" customWidth="true" hidden="false" outlineLevel="0" max="4" min="4" style="0" width="100"/>
    <col collapsed="false" customWidth="true" hidden="false" outlineLevel="0" max="5" min="5" style="0" width="12"/>
  </cols>
  <sheetData>
    <row r="1" customFormat="false" ht="17.35" hidden="false" customHeight="false" outlineLevel="0" collapsed="false">
      <c r="A1" s="4" t="s">
        <v>1265</v>
      </c>
    </row>
    <row r="3" customFormat="false" ht="15" hidden="false" customHeight="false" outlineLevel="0" collapsed="false">
      <c r="A3" s="6" t="s">
        <v>34</v>
      </c>
      <c r="B3" s="6" t="s">
        <v>1059</v>
      </c>
      <c r="C3" s="6" t="s">
        <v>1060</v>
      </c>
      <c r="D3" s="6" t="s">
        <v>1266</v>
      </c>
      <c r="E3" s="6" t="s">
        <v>1267</v>
      </c>
    </row>
    <row r="4" customFormat="false" ht="15" hidden="false" customHeight="false" outlineLevel="0" collapsed="false">
      <c r="A4" s="21" t="s">
        <v>1074</v>
      </c>
      <c r="B4" s="22" t="s">
        <v>1073</v>
      </c>
      <c r="C4" s="22" t="s">
        <v>1075</v>
      </c>
      <c r="D4" s="8" t="s">
        <v>1268</v>
      </c>
      <c r="E4" s="7" t="n">
        <f aca="false">COUNTIF(Classement!$B$5:$B$87,A4)</f>
        <v>7</v>
      </c>
    </row>
    <row r="5" customFormat="false" ht="32.8" hidden="false" customHeight="false" outlineLevel="0" collapsed="false">
      <c r="A5" s="21" t="s">
        <v>1093</v>
      </c>
      <c r="B5" s="22" t="s">
        <v>1073</v>
      </c>
      <c r="C5" s="22" t="s">
        <v>1094</v>
      </c>
      <c r="D5" s="8" t="s">
        <v>1269</v>
      </c>
      <c r="E5" s="7" t="n">
        <f aca="false">COUNTIF(Classement!$B$5:$B$87,A5)</f>
        <v>7</v>
      </c>
    </row>
    <row r="6" customFormat="false" ht="15" hidden="false" customHeight="false" outlineLevel="0" collapsed="false">
      <c r="A6" s="21" t="s">
        <v>1110</v>
      </c>
      <c r="B6" s="22" t="s">
        <v>1073</v>
      </c>
      <c r="C6" s="22" t="s">
        <v>1111</v>
      </c>
      <c r="D6" s="8" t="s">
        <v>1270</v>
      </c>
      <c r="E6" s="7" t="n">
        <f aca="false">COUNTIF(Classement!$B$5:$B$87,A6)</f>
        <v>3</v>
      </c>
    </row>
    <row r="7" customFormat="false" ht="15" hidden="false" customHeight="false" outlineLevel="0" collapsed="false">
      <c r="A7" s="24" t="s">
        <v>1119</v>
      </c>
      <c r="B7" s="25" t="s">
        <v>1118</v>
      </c>
      <c r="C7" s="25" t="s">
        <v>1120</v>
      </c>
      <c r="D7" s="8" t="s">
        <v>1271</v>
      </c>
      <c r="E7" s="7" t="n">
        <f aca="false">COUNTIF(Classement!$B$5:$B$87,A7)</f>
        <v>3</v>
      </c>
    </row>
    <row r="8" customFormat="false" ht="15" hidden="false" customHeight="false" outlineLevel="0" collapsed="false">
      <c r="A8" s="24" t="s">
        <v>1127</v>
      </c>
      <c r="B8" s="25" t="s">
        <v>1118</v>
      </c>
      <c r="C8" s="25" t="s">
        <v>1128</v>
      </c>
      <c r="D8" s="8" t="s">
        <v>1272</v>
      </c>
      <c r="E8" s="7" t="n">
        <f aca="false">COUNTIF(Classement!$B$5:$B$87,A8)</f>
        <v>8</v>
      </c>
    </row>
    <row r="9" customFormat="false" ht="22.35" hidden="false" customHeight="false" outlineLevel="0" collapsed="false">
      <c r="A9" s="24" t="s">
        <v>1147</v>
      </c>
      <c r="B9" s="25" t="s">
        <v>1118</v>
      </c>
      <c r="C9" s="25" t="s">
        <v>1148</v>
      </c>
      <c r="D9" s="8" t="s">
        <v>1273</v>
      </c>
      <c r="E9" s="7" t="n">
        <f aca="false">COUNTIF(Classement!$B$5:$B$87,A9)</f>
        <v>17</v>
      </c>
    </row>
    <row r="10" customFormat="false" ht="15" hidden="false" customHeight="false" outlineLevel="0" collapsed="false">
      <c r="A10" s="26" t="s">
        <v>1184</v>
      </c>
      <c r="B10" s="27" t="s">
        <v>1183</v>
      </c>
      <c r="C10" s="27" t="s">
        <v>1185</v>
      </c>
      <c r="D10" s="8" t="s">
        <v>1274</v>
      </c>
      <c r="E10" s="7" t="n">
        <f aca="false">COUNTIF(Classement!$B$5:$B$87,A10)</f>
        <v>19</v>
      </c>
    </row>
    <row r="11" customFormat="false" ht="22.35" hidden="false" customHeight="false" outlineLevel="0" collapsed="false">
      <c r="A11" s="26" t="s">
        <v>1224</v>
      </c>
      <c r="B11" s="27" t="s">
        <v>1183</v>
      </c>
      <c r="C11" s="27" t="s">
        <v>1225</v>
      </c>
      <c r="D11" s="8" t="s">
        <v>1275</v>
      </c>
      <c r="E11" s="7" t="n">
        <f aca="false">COUNTIF(Classement!$B$5:$B$87,A11)</f>
        <v>18</v>
      </c>
    </row>
    <row r="12" customFormat="false" ht="15" hidden="false" customHeight="false" outlineLevel="0" collapsed="false">
      <c r="A12" s="26" t="s">
        <v>1261</v>
      </c>
      <c r="B12" s="27" t="s">
        <v>1183</v>
      </c>
      <c r="C12" s="27" t="s">
        <v>1262</v>
      </c>
      <c r="D12" s="8" t="s">
        <v>1276</v>
      </c>
      <c r="E12" s="7" t="n">
        <f aca="false">COUNTIF(Classement!$B$5:$B$87,A12)</f>
        <v>1</v>
      </c>
    </row>
    <row r="13" customFormat="false" ht="15" hidden="false" customHeight="false" outlineLevel="0" collapsed="false">
      <c r="D13" s="28" t="s">
        <v>1277</v>
      </c>
      <c r="E13" s="29" t="n">
        <f aca="false">SUM(E4:E12)</f>
        <v>83</v>
      </c>
    </row>
    <row r="15" customFormat="false" ht="15" hidden="false" customHeight="false" outlineLevel="0" collapsed="false">
      <c r="A15" s="30" t="s">
        <v>1278</v>
      </c>
    </row>
    <row r="16" customFormat="false" ht="27.75" hidden="false" customHeight="true" outlineLevel="0" collapsed="false">
      <c r="A16" s="31" t="s">
        <v>1063</v>
      </c>
      <c r="B16" s="32" t="s">
        <v>1279</v>
      </c>
      <c r="C16" s="32"/>
      <c r="D16" s="32"/>
    </row>
    <row r="17" customFormat="false" ht="27.75" hidden="false" customHeight="true" outlineLevel="0" collapsed="false">
      <c r="A17" s="31" t="s">
        <v>1064</v>
      </c>
      <c r="B17" s="32" t="s">
        <v>1280</v>
      </c>
      <c r="C17" s="32"/>
      <c r="D17" s="32"/>
    </row>
    <row r="18" customFormat="false" ht="27.75" hidden="false" customHeight="true" outlineLevel="0" collapsed="false">
      <c r="A18" s="31" t="s">
        <v>1065</v>
      </c>
      <c r="B18" s="32" t="s">
        <v>1281</v>
      </c>
      <c r="C18" s="32"/>
      <c r="D18" s="32"/>
    </row>
    <row r="19" customFormat="false" ht="27.75" hidden="false" customHeight="true" outlineLevel="0" collapsed="false">
      <c r="A19" s="31" t="s">
        <v>1066</v>
      </c>
      <c r="B19" s="32" t="s">
        <v>1282</v>
      </c>
      <c r="C19" s="32"/>
      <c r="D19" s="32"/>
    </row>
    <row r="20" customFormat="false" ht="27.75" hidden="false" customHeight="true" outlineLevel="0" collapsed="false">
      <c r="A20" s="31" t="s">
        <v>1067</v>
      </c>
      <c r="B20" s="32" t="s">
        <v>1283</v>
      </c>
      <c r="C20" s="32"/>
      <c r="D20" s="32"/>
    </row>
    <row r="21" customFormat="false" ht="27.75" hidden="false" customHeight="true" outlineLevel="0" collapsed="false">
      <c r="A21" s="31" t="s">
        <v>1068</v>
      </c>
      <c r="B21" s="32" t="s">
        <v>1284</v>
      </c>
      <c r="C21" s="32"/>
      <c r="D21" s="32"/>
    </row>
    <row r="22" customFormat="false" ht="27.75" hidden="false" customHeight="true" outlineLevel="0" collapsed="false">
      <c r="A22" s="31" t="s">
        <v>1069</v>
      </c>
      <c r="B22" s="32" t="s">
        <v>1285</v>
      </c>
      <c r="C22" s="32"/>
      <c r="D22" s="32"/>
    </row>
    <row r="23" customFormat="false" ht="27.75" hidden="false" customHeight="true" outlineLevel="0" collapsed="false">
      <c r="A23" s="31" t="s">
        <v>1286</v>
      </c>
      <c r="B23" s="32" t="s">
        <v>1287</v>
      </c>
      <c r="C23" s="32"/>
      <c r="D23" s="32"/>
    </row>
  </sheetData>
  <mergeCells count="8">
    <mergeCell ref="B16:D16"/>
    <mergeCell ref="B17:D17"/>
    <mergeCell ref="B18:D18"/>
    <mergeCell ref="B19:D19"/>
    <mergeCell ref="B20:D20"/>
    <mergeCell ref="B21:D21"/>
    <mergeCell ref="B22:D22"/>
    <mergeCell ref="B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3" min="3" style="0" width="10"/>
    <col collapsed="false" customWidth="true" hidden="false" outlineLevel="0" max="5" min="4" style="0" width="9"/>
    <col collapsed="false" customWidth="true" hidden="false" outlineLevel="0" max="8" min="6" style="0" width="10"/>
    <col collapsed="false" customWidth="true" hidden="false" outlineLevel="0" max="10" min="9" style="0" width="70"/>
  </cols>
  <sheetData>
    <row r="1" customFormat="false" ht="17.35" hidden="false" customHeight="false" outlineLevel="0" collapsed="false">
      <c r="A1" s="4" t="s">
        <v>1288</v>
      </c>
    </row>
    <row r="2" customFormat="false" ht="30" hidden="false" customHeight="true" outlineLevel="0" collapsed="false">
      <c r="A2" s="13" t="s">
        <v>1289</v>
      </c>
      <c r="B2" s="13"/>
      <c r="C2" s="13"/>
      <c r="D2" s="13"/>
      <c r="E2" s="13"/>
      <c r="F2" s="13"/>
      <c r="G2" s="13"/>
      <c r="H2" s="13"/>
      <c r="I2" s="13"/>
      <c r="J2" s="13"/>
      <c r="K2" s="13"/>
    </row>
    <row r="4" customFormat="false" ht="33.75" hidden="false" customHeight="true" outlineLevel="0" collapsed="false">
      <c r="A4" s="6" t="s">
        <v>283</v>
      </c>
      <c r="B4" s="6" t="s">
        <v>1290</v>
      </c>
      <c r="C4" s="6" t="s">
        <v>1291</v>
      </c>
      <c r="D4" s="6" t="s">
        <v>1292</v>
      </c>
      <c r="E4" s="6" t="s">
        <v>1293</v>
      </c>
      <c r="F4" s="6" t="s">
        <v>1294</v>
      </c>
      <c r="G4" s="6" t="s">
        <v>1295</v>
      </c>
      <c r="H4" s="6" t="s">
        <v>1072</v>
      </c>
      <c r="I4" s="6" t="s">
        <v>1296</v>
      </c>
      <c r="J4" s="6" t="s">
        <v>1297</v>
      </c>
    </row>
    <row r="5" customFormat="false" ht="22.35" hidden="false" customHeight="false" outlineLevel="0" collapsed="false">
      <c r="A5" s="8" t="s">
        <v>508</v>
      </c>
      <c r="B5" s="7" t="n">
        <v>4</v>
      </c>
      <c r="C5" s="7" t="n">
        <v>4</v>
      </c>
      <c r="D5" s="7" t="n">
        <v>3</v>
      </c>
      <c r="E5" s="7" t="n">
        <v>4</v>
      </c>
      <c r="F5" s="7" t="n">
        <v>3</v>
      </c>
      <c r="G5" s="7" t="n">
        <v>3</v>
      </c>
      <c r="H5" s="7" t="s">
        <v>1033</v>
      </c>
      <c r="I5" s="8" t="s">
        <v>1298</v>
      </c>
      <c r="J5" s="8" t="s">
        <v>1299</v>
      </c>
    </row>
    <row r="6" customFormat="false" ht="32.8" hidden="false" customHeight="false" outlineLevel="0" collapsed="false">
      <c r="A6" s="8" t="s">
        <v>354</v>
      </c>
      <c r="B6" s="7" t="n">
        <v>4</v>
      </c>
      <c r="C6" s="7" t="n">
        <v>4</v>
      </c>
      <c r="D6" s="7" t="n">
        <v>4</v>
      </c>
      <c r="E6" s="7" t="n">
        <v>3</v>
      </c>
      <c r="F6" s="7" t="n">
        <v>3</v>
      </c>
      <c r="G6" s="7" t="n">
        <v>3</v>
      </c>
      <c r="H6" s="7" t="s">
        <v>1033</v>
      </c>
      <c r="I6" s="8" t="s">
        <v>1300</v>
      </c>
      <c r="J6" s="8" t="s">
        <v>1301</v>
      </c>
    </row>
    <row r="7" customFormat="false" ht="15" hidden="false" customHeight="false" outlineLevel="0" collapsed="false">
      <c r="A7" s="8" t="s">
        <v>577</v>
      </c>
      <c r="B7" s="7" t="n">
        <v>4</v>
      </c>
      <c r="C7" s="7" t="n">
        <v>3</v>
      </c>
      <c r="D7" s="7" t="n">
        <v>3</v>
      </c>
      <c r="E7" s="7" t="n">
        <v>3</v>
      </c>
      <c r="F7" s="7" t="n">
        <v>2</v>
      </c>
      <c r="G7" s="7" t="n">
        <v>3</v>
      </c>
      <c r="H7" s="7" t="s">
        <v>1030</v>
      </c>
      <c r="I7" s="8" t="s">
        <v>1302</v>
      </c>
      <c r="J7" s="8" t="s">
        <v>1303</v>
      </c>
    </row>
    <row r="8" customFormat="false" ht="15" hidden="false" customHeight="false" outlineLevel="0" collapsed="false">
      <c r="A8" s="8" t="s">
        <v>481</v>
      </c>
      <c r="B8" s="7" t="n">
        <v>1</v>
      </c>
      <c r="C8" s="7" t="n">
        <v>2</v>
      </c>
      <c r="D8" s="7" t="n">
        <v>2</v>
      </c>
      <c r="E8" s="7" t="n">
        <v>2</v>
      </c>
      <c r="F8" s="7" t="n">
        <v>3</v>
      </c>
      <c r="G8" s="7" t="n">
        <v>2</v>
      </c>
      <c r="H8" s="7" t="s">
        <v>1033</v>
      </c>
      <c r="I8" s="8" t="s">
        <v>1304</v>
      </c>
      <c r="J8" s="8" t="s">
        <v>1305</v>
      </c>
    </row>
    <row r="9" customFormat="false" ht="15" hidden="false" customHeight="false" outlineLevel="0" collapsed="false">
      <c r="A9" s="8" t="s">
        <v>884</v>
      </c>
      <c r="B9" s="7" t="n">
        <v>3</v>
      </c>
      <c r="C9" s="7" t="n">
        <v>1</v>
      </c>
      <c r="D9" s="7" t="n">
        <v>2</v>
      </c>
      <c r="E9" s="7" t="n">
        <v>2</v>
      </c>
      <c r="F9" s="7" t="n">
        <v>1</v>
      </c>
      <c r="G9" s="7" t="n">
        <v>3</v>
      </c>
      <c r="H9" s="7" t="s">
        <v>1030</v>
      </c>
      <c r="I9" s="8" t="s">
        <v>1306</v>
      </c>
      <c r="J9" s="8" t="s">
        <v>1303</v>
      </c>
    </row>
    <row r="10" customFormat="false" ht="22.35" hidden="false" customHeight="false" outlineLevel="0" collapsed="false">
      <c r="A10" s="8" t="s">
        <v>426</v>
      </c>
      <c r="B10" s="7" t="n">
        <v>4</v>
      </c>
      <c r="C10" s="7" t="n">
        <v>3</v>
      </c>
      <c r="D10" s="7" t="n">
        <v>2</v>
      </c>
      <c r="E10" s="7" t="n">
        <v>3</v>
      </c>
      <c r="F10" s="7" t="n">
        <v>4</v>
      </c>
      <c r="G10" s="7" t="n">
        <v>3</v>
      </c>
      <c r="H10" s="7" t="s">
        <v>1033</v>
      </c>
      <c r="I10" s="8" t="s">
        <v>1307</v>
      </c>
      <c r="J10" s="8" t="s">
        <v>1308</v>
      </c>
    </row>
    <row r="11" customFormat="false" ht="15" hidden="false" customHeight="false" outlineLevel="0" collapsed="false">
      <c r="A11" s="8" t="s">
        <v>850</v>
      </c>
      <c r="B11" s="7" t="n">
        <v>5</v>
      </c>
      <c r="C11" s="7" t="n">
        <v>3</v>
      </c>
      <c r="D11" s="7" t="n">
        <v>3</v>
      </c>
      <c r="E11" s="7" t="n">
        <v>3</v>
      </c>
      <c r="F11" s="7" t="n">
        <v>3</v>
      </c>
      <c r="G11" s="7" t="n">
        <v>3</v>
      </c>
      <c r="H11" s="7" t="s">
        <v>1030</v>
      </c>
      <c r="I11" s="8" t="s">
        <v>1309</v>
      </c>
      <c r="J11" s="8" t="s">
        <v>1303</v>
      </c>
    </row>
    <row r="12" customFormat="false" ht="15" hidden="false" customHeight="false" outlineLevel="0" collapsed="false">
      <c r="A12" s="8" t="s">
        <v>776</v>
      </c>
      <c r="B12" s="7" t="n">
        <v>3</v>
      </c>
      <c r="C12" s="7" t="n">
        <v>2</v>
      </c>
      <c r="D12" s="7" t="n">
        <v>3</v>
      </c>
      <c r="E12" s="7" t="n">
        <v>2</v>
      </c>
      <c r="F12" s="7" t="n">
        <v>3</v>
      </c>
      <c r="G12" s="7" t="n">
        <v>3</v>
      </c>
      <c r="H12" s="7" t="s">
        <v>1030</v>
      </c>
      <c r="I12" s="8" t="s">
        <v>1310</v>
      </c>
      <c r="J12" s="8" t="s">
        <v>1303</v>
      </c>
    </row>
    <row r="13" customFormat="false" ht="22.35" hidden="false" customHeight="false" outlineLevel="0" collapsed="false">
      <c r="A13" s="8" t="s">
        <v>586</v>
      </c>
      <c r="B13" s="7" t="n">
        <v>4</v>
      </c>
      <c r="C13" s="7" t="n">
        <v>4</v>
      </c>
      <c r="D13" s="7" t="n">
        <v>3</v>
      </c>
      <c r="E13" s="7" t="n">
        <v>4</v>
      </c>
      <c r="F13" s="7" t="n">
        <v>3</v>
      </c>
      <c r="G13" s="7" t="n">
        <v>3</v>
      </c>
      <c r="H13" s="7" t="s">
        <v>1033</v>
      </c>
      <c r="I13" s="8" t="s">
        <v>1311</v>
      </c>
      <c r="J13" s="8" t="s">
        <v>1312</v>
      </c>
    </row>
    <row r="14" customFormat="false" ht="15" hidden="false" customHeight="false" outlineLevel="0" collapsed="false">
      <c r="A14" s="8" t="s">
        <v>722</v>
      </c>
      <c r="B14" s="7" t="n">
        <v>3</v>
      </c>
      <c r="C14" s="7" t="n">
        <v>2</v>
      </c>
      <c r="D14" s="7" t="n">
        <v>2</v>
      </c>
      <c r="E14" s="7" t="n">
        <v>3</v>
      </c>
      <c r="F14" s="7" t="n">
        <v>1</v>
      </c>
      <c r="G14" s="7" t="n">
        <v>3</v>
      </c>
      <c r="H14" s="7" t="s">
        <v>1030</v>
      </c>
      <c r="I14" s="8" t="s">
        <v>1313</v>
      </c>
      <c r="J14" s="8" t="s">
        <v>1303</v>
      </c>
    </row>
    <row r="15" customFormat="false" ht="15" hidden="false" customHeight="false" outlineLevel="0" collapsed="false">
      <c r="A15" s="8" t="s">
        <v>859</v>
      </c>
      <c r="B15" s="7" t="n">
        <v>1</v>
      </c>
      <c r="C15" s="7" t="n">
        <v>2</v>
      </c>
      <c r="D15" s="7" t="n">
        <v>2</v>
      </c>
      <c r="E15" s="7" t="n">
        <v>2</v>
      </c>
      <c r="F15" s="7" t="n">
        <v>1</v>
      </c>
      <c r="G15" s="7" t="n">
        <v>3</v>
      </c>
      <c r="H15" s="7" t="s">
        <v>1030</v>
      </c>
      <c r="I15" s="8" t="s">
        <v>1314</v>
      </c>
      <c r="J15" s="8" t="s">
        <v>1303</v>
      </c>
    </row>
    <row r="16" customFormat="false" ht="22.35" hidden="false" customHeight="false" outlineLevel="0" collapsed="false">
      <c r="A16" s="8" t="s">
        <v>1315</v>
      </c>
      <c r="B16" s="7" t="n">
        <v>4</v>
      </c>
      <c r="C16" s="7" t="n">
        <v>2</v>
      </c>
      <c r="D16" s="7" t="n">
        <v>2</v>
      </c>
      <c r="E16" s="7" t="n">
        <v>3</v>
      </c>
      <c r="F16" s="7" t="n">
        <v>3</v>
      </c>
      <c r="G16" s="7" t="n">
        <v>3</v>
      </c>
      <c r="H16" s="7" t="s">
        <v>1030</v>
      </c>
      <c r="I16" s="8" t="s">
        <v>1316</v>
      </c>
      <c r="J16" s="8" t="s">
        <v>1303</v>
      </c>
    </row>
    <row r="17" customFormat="false" ht="15" hidden="false" customHeight="false" outlineLevel="0" collapsed="false">
      <c r="A17" s="8" t="s">
        <v>472</v>
      </c>
      <c r="B17" s="7" t="n">
        <v>5</v>
      </c>
      <c r="C17" s="7" t="n">
        <v>2</v>
      </c>
      <c r="D17" s="7" t="n">
        <v>3</v>
      </c>
      <c r="E17" s="7" t="n">
        <v>3</v>
      </c>
      <c r="F17" s="7" t="n">
        <v>3</v>
      </c>
      <c r="G17" s="7" t="n">
        <v>3</v>
      </c>
      <c r="H17" s="7" t="s">
        <v>1030</v>
      </c>
      <c r="I17" s="8" t="s">
        <v>1317</v>
      </c>
      <c r="J17" s="8" t="s">
        <v>1303</v>
      </c>
    </row>
    <row r="18" customFormat="false" ht="15" hidden="false" customHeight="false" outlineLevel="0" collapsed="false">
      <c r="A18" s="8" t="s">
        <v>342</v>
      </c>
      <c r="B18" s="7" t="n">
        <v>3</v>
      </c>
      <c r="C18" s="7" t="n">
        <v>3</v>
      </c>
      <c r="D18" s="7" t="n">
        <v>4</v>
      </c>
      <c r="E18" s="7" t="n">
        <v>3</v>
      </c>
      <c r="F18" s="7" t="n">
        <v>4</v>
      </c>
      <c r="G18" s="7" t="n">
        <v>3</v>
      </c>
      <c r="H18" s="7" t="s">
        <v>1033</v>
      </c>
      <c r="I18" s="8" t="s">
        <v>1318</v>
      </c>
      <c r="J18" s="8" t="s">
        <v>1319</v>
      </c>
    </row>
    <row r="19" customFormat="false" ht="15" hidden="false" customHeight="false" outlineLevel="0" collapsed="false">
      <c r="A19" s="8" t="s">
        <v>868</v>
      </c>
      <c r="B19" s="7" t="n">
        <v>3</v>
      </c>
      <c r="C19" s="7" t="n">
        <v>3</v>
      </c>
      <c r="D19" s="7" t="n">
        <v>3</v>
      </c>
      <c r="E19" s="7" t="n">
        <v>3</v>
      </c>
      <c r="F19" s="7" t="n">
        <v>2</v>
      </c>
      <c r="G19" s="7" t="n">
        <v>3</v>
      </c>
      <c r="H19" s="7" t="s">
        <v>1033</v>
      </c>
      <c r="I19" s="8" t="s">
        <v>1320</v>
      </c>
      <c r="J19" s="8" t="s">
        <v>1321</v>
      </c>
    </row>
    <row r="20" customFormat="false" ht="15" hidden="false" customHeight="false" outlineLevel="0" collapsed="false">
      <c r="A20" s="8" t="s">
        <v>812</v>
      </c>
      <c r="B20" s="7" t="n">
        <v>5</v>
      </c>
      <c r="C20" s="7" t="n">
        <v>2</v>
      </c>
      <c r="D20" s="7" t="n">
        <v>3</v>
      </c>
      <c r="E20" s="7" t="n">
        <v>2</v>
      </c>
      <c r="F20" s="7" t="n">
        <v>4</v>
      </c>
      <c r="G20" s="7" t="n">
        <v>3</v>
      </c>
      <c r="H20" s="7" t="s">
        <v>1030</v>
      </c>
      <c r="I20" s="8" t="s">
        <v>1322</v>
      </c>
      <c r="J20" s="8" t="s">
        <v>1303</v>
      </c>
    </row>
    <row r="21" customFormat="false" ht="22.35" hidden="false" customHeight="false" outlineLevel="0" collapsed="false">
      <c r="A21" s="8" t="s">
        <v>1323</v>
      </c>
      <c r="B21" s="7" t="n">
        <v>2</v>
      </c>
      <c r="C21" s="7" t="n">
        <v>2</v>
      </c>
      <c r="D21" s="7" t="n">
        <v>2</v>
      </c>
      <c r="E21" s="7" t="n">
        <v>2</v>
      </c>
      <c r="F21" s="7" t="n">
        <v>1</v>
      </c>
      <c r="G21" s="7" t="n">
        <v>3</v>
      </c>
      <c r="H21" s="7" t="s">
        <v>1033</v>
      </c>
      <c r="I21" s="8" t="s">
        <v>1324</v>
      </c>
      <c r="J21" s="8" t="s">
        <v>1325</v>
      </c>
    </row>
    <row r="22" customFormat="false" ht="15" hidden="false" customHeight="false" outlineLevel="0" collapsed="false">
      <c r="A22" s="8" t="s">
        <v>616</v>
      </c>
      <c r="B22" s="7" t="n">
        <v>4</v>
      </c>
      <c r="C22" s="7" t="n">
        <v>3</v>
      </c>
      <c r="D22" s="7" t="n">
        <v>2</v>
      </c>
      <c r="E22" s="7" t="n">
        <v>3</v>
      </c>
      <c r="F22" s="7" t="n">
        <v>4</v>
      </c>
      <c r="G22" s="7" t="n">
        <v>3</v>
      </c>
      <c r="H22" s="7" t="s">
        <v>1030</v>
      </c>
      <c r="I22" s="8" t="s">
        <v>1326</v>
      </c>
      <c r="J22" s="8" t="s">
        <v>1303</v>
      </c>
    </row>
    <row r="23" customFormat="false" ht="15" hidden="false" customHeight="false" outlineLevel="0" collapsed="false">
      <c r="A23" s="8" t="s">
        <v>417</v>
      </c>
      <c r="B23" s="7" t="n">
        <v>3</v>
      </c>
      <c r="C23" s="7" t="n">
        <v>1</v>
      </c>
      <c r="D23" s="7" t="n">
        <v>2</v>
      </c>
      <c r="E23" s="7" t="n">
        <v>2</v>
      </c>
      <c r="F23" s="7" t="n">
        <v>3</v>
      </c>
      <c r="G23" s="7" t="n">
        <v>3</v>
      </c>
      <c r="H23" s="7" t="s">
        <v>1030</v>
      </c>
      <c r="I23" s="8" t="s">
        <v>1327</v>
      </c>
      <c r="J23" s="8" t="s">
        <v>1303</v>
      </c>
    </row>
    <row r="24" customFormat="false" ht="15" hidden="false" customHeight="false" outlineLevel="0" collapsed="false">
      <c r="A24" s="8" t="s">
        <v>376</v>
      </c>
      <c r="B24" s="7" t="n">
        <v>2</v>
      </c>
      <c r="C24" s="7" t="n">
        <v>1</v>
      </c>
      <c r="D24" s="7" t="n">
        <v>2</v>
      </c>
      <c r="E24" s="7" t="n">
        <v>2</v>
      </c>
      <c r="F24" s="7" t="n">
        <v>2</v>
      </c>
      <c r="G24" s="7" t="n">
        <v>3</v>
      </c>
      <c r="H24" s="7" t="s">
        <v>1030</v>
      </c>
      <c r="I24" s="8" t="s">
        <v>1310</v>
      </c>
      <c r="J24" s="8" t="s">
        <v>1303</v>
      </c>
    </row>
    <row r="25" customFormat="false" ht="22.35" hidden="false" customHeight="false" outlineLevel="0" collapsed="false">
      <c r="A25" s="8" t="s">
        <v>302</v>
      </c>
      <c r="B25" s="7" t="n">
        <v>5</v>
      </c>
      <c r="C25" s="7" t="n">
        <v>3</v>
      </c>
      <c r="D25" s="7" t="n">
        <v>3</v>
      </c>
      <c r="E25" s="7" t="n">
        <v>3</v>
      </c>
      <c r="F25" s="7" t="n">
        <v>4</v>
      </c>
      <c r="G25" s="7" t="n">
        <v>3</v>
      </c>
      <c r="H25" s="7" t="s">
        <v>1033</v>
      </c>
      <c r="I25" s="8" t="s">
        <v>1328</v>
      </c>
      <c r="J25" s="8" t="s">
        <v>1329</v>
      </c>
    </row>
    <row r="26" customFormat="false" ht="15" hidden="false" customHeight="false" outlineLevel="0" collapsed="false">
      <c r="A26" s="8" t="s">
        <v>913</v>
      </c>
      <c r="B26" s="7" t="n">
        <v>3</v>
      </c>
      <c r="C26" s="7" t="n">
        <v>2</v>
      </c>
      <c r="D26" s="7" t="n">
        <v>2</v>
      </c>
      <c r="E26" s="7" t="n">
        <v>3</v>
      </c>
      <c r="F26" s="7" t="n">
        <v>3</v>
      </c>
      <c r="G26" s="7" t="n">
        <v>3</v>
      </c>
      <c r="H26" s="7" t="s">
        <v>1033</v>
      </c>
      <c r="I26" s="8" t="s">
        <v>1330</v>
      </c>
      <c r="J26" s="8" t="s">
        <v>1303</v>
      </c>
    </row>
    <row r="27" customFormat="false" ht="15" hidden="false" customHeight="false" outlineLevel="0" collapsed="false">
      <c r="A27" s="8" t="s">
        <v>435</v>
      </c>
      <c r="B27" s="7" t="n">
        <v>4</v>
      </c>
      <c r="C27" s="7" t="n">
        <v>2</v>
      </c>
      <c r="D27" s="7" t="n">
        <v>2</v>
      </c>
      <c r="E27" s="7" t="n">
        <v>2</v>
      </c>
      <c r="F27" s="7" t="n">
        <v>3</v>
      </c>
      <c r="G27" s="7" t="n">
        <v>3</v>
      </c>
      <c r="H27" s="7" t="s">
        <v>1030</v>
      </c>
      <c r="I27" s="8" t="s">
        <v>1331</v>
      </c>
      <c r="J27" s="8" t="s">
        <v>1303</v>
      </c>
    </row>
    <row r="28" customFormat="false" ht="15" hidden="false" customHeight="false" outlineLevel="0" collapsed="false">
      <c r="A28" s="8" t="s">
        <v>751</v>
      </c>
      <c r="B28" s="7" t="n">
        <v>5</v>
      </c>
      <c r="C28" s="7" t="n">
        <v>2</v>
      </c>
      <c r="D28" s="7" t="n">
        <v>2</v>
      </c>
      <c r="E28" s="7" t="n">
        <v>3</v>
      </c>
      <c r="F28" s="7" t="n">
        <v>4</v>
      </c>
      <c r="G28" s="7" t="n">
        <v>3</v>
      </c>
      <c r="H28" s="7" t="s">
        <v>1030</v>
      </c>
      <c r="I28" s="8" t="s">
        <v>1332</v>
      </c>
      <c r="J28" s="8" t="s">
        <v>1303</v>
      </c>
    </row>
    <row r="29" customFormat="false" ht="15" hidden="false" customHeight="false" outlineLevel="0" collapsed="false">
      <c r="A29" s="8" t="s">
        <v>970</v>
      </c>
      <c r="B29" s="7" t="n">
        <v>4</v>
      </c>
      <c r="C29" s="7" t="n">
        <v>2</v>
      </c>
      <c r="D29" s="7" t="n">
        <v>3</v>
      </c>
      <c r="E29" s="7" t="n">
        <v>3</v>
      </c>
      <c r="F29" s="7" t="n">
        <v>2</v>
      </c>
      <c r="G29" s="7" t="n">
        <v>3</v>
      </c>
      <c r="H29" s="7" t="s">
        <v>1030</v>
      </c>
      <c r="I29" s="8" t="s">
        <v>1333</v>
      </c>
      <c r="J29" s="8" t="s">
        <v>1303</v>
      </c>
    </row>
    <row r="30" customFormat="false" ht="15" hidden="false" customHeight="false" outlineLevel="0" collapsed="false">
      <c r="A30" s="8" t="s">
        <v>365</v>
      </c>
      <c r="B30" s="7" t="n">
        <v>1</v>
      </c>
      <c r="C30" s="7" t="n">
        <v>2</v>
      </c>
      <c r="D30" s="7" t="n">
        <v>1</v>
      </c>
      <c r="E30" s="7" t="n">
        <v>1</v>
      </c>
      <c r="F30" s="7" t="n">
        <v>1</v>
      </c>
      <c r="G30" s="7" t="n">
        <v>2</v>
      </c>
      <c r="H30" s="7" t="s">
        <v>1030</v>
      </c>
      <c r="I30" s="8" t="s">
        <v>1334</v>
      </c>
      <c r="J30" s="8" t="s">
        <v>1303</v>
      </c>
    </row>
    <row r="31" customFormat="false" ht="15" hidden="false" customHeight="false" outlineLevel="0" collapsed="false">
      <c r="A31" s="8" t="s">
        <v>631</v>
      </c>
      <c r="B31" s="7" t="n">
        <v>4</v>
      </c>
      <c r="C31" s="7" t="n">
        <v>3</v>
      </c>
      <c r="D31" s="7" t="n">
        <v>3</v>
      </c>
      <c r="E31" s="7" t="n">
        <v>3</v>
      </c>
      <c r="F31" s="7" t="n">
        <v>3</v>
      </c>
      <c r="G31" s="7" t="n">
        <v>3</v>
      </c>
      <c r="H31" s="7" t="s">
        <v>1030</v>
      </c>
      <c r="I31" s="8" t="s">
        <v>1335</v>
      </c>
      <c r="J31" s="8" t="s">
        <v>1303</v>
      </c>
    </row>
    <row r="32" customFormat="false" ht="15" hidden="false" customHeight="false" outlineLevel="0" collapsed="false">
      <c r="A32" s="8" t="s">
        <v>835</v>
      </c>
      <c r="B32" s="7" t="n">
        <v>4</v>
      </c>
      <c r="C32" s="7" t="n">
        <v>2</v>
      </c>
      <c r="D32" s="7" t="n">
        <v>2</v>
      </c>
      <c r="E32" s="7" t="n">
        <v>2</v>
      </c>
      <c r="F32" s="7" t="n">
        <v>1</v>
      </c>
      <c r="G32" s="7" t="n">
        <v>3</v>
      </c>
      <c r="H32" s="7" t="s">
        <v>1030</v>
      </c>
      <c r="I32" s="8" t="s">
        <v>1336</v>
      </c>
      <c r="J32" s="8" t="s">
        <v>1303</v>
      </c>
    </row>
    <row r="33" customFormat="false" ht="15" hidden="false" customHeight="false" outlineLevel="0" collapsed="false">
      <c r="A33" s="8" t="s">
        <v>539</v>
      </c>
      <c r="B33" s="7" t="n">
        <v>3</v>
      </c>
      <c r="C33" s="7" t="n">
        <v>2</v>
      </c>
      <c r="D33" s="7" t="n">
        <v>3</v>
      </c>
      <c r="E33" s="7" t="n">
        <v>2</v>
      </c>
      <c r="F33" s="7" t="n">
        <v>1</v>
      </c>
      <c r="G33" s="7" t="n">
        <v>3</v>
      </c>
      <c r="H33" s="7" t="s">
        <v>1033</v>
      </c>
      <c r="I33" s="8" t="s">
        <v>1337</v>
      </c>
      <c r="J33" s="8" t="s">
        <v>1338</v>
      </c>
    </row>
    <row r="34" customFormat="false" ht="15" hidden="false" customHeight="false" outlineLevel="0" collapsed="false">
      <c r="A34" s="8" t="s">
        <v>1339</v>
      </c>
      <c r="B34" s="7" t="n">
        <v>4</v>
      </c>
      <c r="C34" s="7" t="n">
        <v>2</v>
      </c>
      <c r="D34" s="7" t="n">
        <v>2</v>
      </c>
      <c r="E34" s="7" t="n">
        <v>3</v>
      </c>
      <c r="F34" s="7" t="n">
        <v>3</v>
      </c>
      <c r="G34" s="7" t="n">
        <v>3</v>
      </c>
      <c r="H34" s="7" t="s">
        <v>1030</v>
      </c>
      <c r="I34" s="8" t="s">
        <v>1340</v>
      </c>
      <c r="J34" s="8" t="s">
        <v>1303</v>
      </c>
    </row>
    <row r="35" customFormat="false" ht="32.8" hidden="false" customHeight="false" outlineLevel="0" collapsed="false">
      <c r="A35" s="8" t="s">
        <v>499</v>
      </c>
      <c r="B35" s="7" t="n">
        <v>4</v>
      </c>
      <c r="C35" s="7" t="n">
        <v>3</v>
      </c>
      <c r="D35" s="7" t="n">
        <v>4</v>
      </c>
      <c r="E35" s="7" t="n">
        <v>3</v>
      </c>
      <c r="F35" s="7" t="n">
        <v>5</v>
      </c>
      <c r="G35" s="7" t="n">
        <v>3</v>
      </c>
      <c r="H35" s="7" t="s">
        <v>1033</v>
      </c>
      <c r="I35" s="8" t="s">
        <v>1341</v>
      </c>
      <c r="J35" s="8" t="s">
        <v>1342</v>
      </c>
    </row>
    <row r="36" customFormat="false" ht="32.8" hidden="false" customHeight="false" outlineLevel="0" collapsed="false">
      <c r="A36" s="8" t="s">
        <v>601</v>
      </c>
      <c r="B36" s="7" t="n">
        <v>2</v>
      </c>
      <c r="C36" s="7" t="n">
        <v>3</v>
      </c>
      <c r="D36" s="7" t="n">
        <v>2</v>
      </c>
      <c r="E36" s="7" t="n">
        <v>2</v>
      </c>
      <c r="F36" s="7" t="n">
        <v>3</v>
      </c>
      <c r="G36" s="7" t="n">
        <v>3</v>
      </c>
      <c r="H36" s="7" t="s">
        <v>1033</v>
      </c>
      <c r="I36" s="8" t="s">
        <v>1343</v>
      </c>
      <c r="J36" s="8" t="s">
        <v>1344</v>
      </c>
    </row>
    <row r="37" customFormat="false" ht="15" hidden="false" customHeight="false" outlineLevel="0" collapsed="false">
      <c r="A37" s="8" t="s">
        <v>1345</v>
      </c>
      <c r="B37" s="7" t="n">
        <v>3</v>
      </c>
      <c r="C37" s="7" t="n">
        <v>2</v>
      </c>
      <c r="D37" s="7" t="n">
        <v>2</v>
      </c>
      <c r="E37" s="7" t="n">
        <v>3</v>
      </c>
      <c r="F37" s="7" t="n">
        <v>2</v>
      </c>
      <c r="G37" s="7" t="n">
        <v>3</v>
      </c>
      <c r="H37" s="7" t="s">
        <v>1030</v>
      </c>
      <c r="I37" s="8" t="s">
        <v>1346</v>
      </c>
      <c r="J37" s="8" t="s">
        <v>1347</v>
      </c>
    </row>
    <row r="38" customFormat="false" ht="15" hidden="false" customHeight="false" outlineLevel="0" collapsed="false">
      <c r="A38" s="8" t="s">
        <v>407</v>
      </c>
      <c r="B38" s="7" t="n">
        <v>4</v>
      </c>
      <c r="C38" s="7" t="n">
        <v>2</v>
      </c>
      <c r="D38" s="7" t="n">
        <v>3</v>
      </c>
      <c r="E38" s="7" t="n">
        <v>2</v>
      </c>
      <c r="F38" s="7" t="n">
        <v>2</v>
      </c>
      <c r="G38" s="7" t="n">
        <v>3</v>
      </c>
      <c r="H38" s="7" t="s">
        <v>1030</v>
      </c>
      <c r="I38" s="8" t="s">
        <v>1348</v>
      </c>
      <c r="J38" s="8" t="s">
        <v>1303</v>
      </c>
    </row>
    <row r="39" customFormat="false" ht="15" hidden="false" customHeight="false" outlineLevel="0" collapsed="false">
      <c r="A39" s="8" t="s">
        <v>1349</v>
      </c>
      <c r="B39" s="7" t="n">
        <v>1</v>
      </c>
      <c r="C39" s="7" t="n">
        <v>1</v>
      </c>
      <c r="D39" s="7" t="n">
        <v>1</v>
      </c>
      <c r="E39" s="7" t="n">
        <v>1</v>
      </c>
      <c r="F39" s="7" t="n">
        <v>1</v>
      </c>
      <c r="G39" s="7" t="n">
        <v>3</v>
      </c>
      <c r="H39" s="7" t="s">
        <v>1030</v>
      </c>
      <c r="I39" s="8" t="s">
        <v>1350</v>
      </c>
      <c r="J39" s="8" t="s">
        <v>1303</v>
      </c>
    </row>
    <row r="40" customFormat="false" ht="22.35" hidden="false" customHeight="false" outlineLevel="0" collapsed="false">
      <c r="A40" s="8" t="s">
        <v>318</v>
      </c>
      <c r="B40" s="7" t="n">
        <v>4</v>
      </c>
      <c r="C40" s="7" t="n">
        <v>5</v>
      </c>
      <c r="D40" s="7" t="n">
        <v>5</v>
      </c>
      <c r="E40" s="7" t="n">
        <v>4</v>
      </c>
      <c r="F40" s="7" t="n">
        <v>5</v>
      </c>
      <c r="G40" s="7" t="n">
        <v>3</v>
      </c>
      <c r="H40" s="7" t="s">
        <v>1033</v>
      </c>
      <c r="I40" s="8" t="s">
        <v>1351</v>
      </c>
      <c r="J40" s="8" t="s">
        <v>1352</v>
      </c>
    </row>
    <row r="41" customFormat="false" ht="22.35" hidden="false" customHeight="false" outlineLevel="0" collapsed="false">
      <c r="A41" s="8" t="s">
        <v>657</v>
      </c>
      <c r="B41" s="7" t="n">
        <v>3</v>
      </c>
      <c r="C41" s="7" t="n">
        <v>4</v>
      </c>
      <c r="D41" s="7" t="n">
        <v>4</v>
      </c>
      <c r="E41" s="7" t="n">
        <v>3</v>
      </c>
      <c r="F41" s="7" t="n">
        <v>4</v>
      </c>
      <c r="G41" s="7" t="n">
        <v>3</v>
      </c>
      <c r="H41" s="7" t="s">
        <v>1033</v>
      </c>
      <c r="I41" s="8" t="s">
        <v>1353</v>
      </c>
      <c r="J41" s="8" t="s">
        <v>1354</v>
      </c>
    </row>
    <row r="42" customFormat="false" ht="15" hidden="false" customHeight="false" outlineLevel="0" collapsed="false">
      <c r="A42" s="8" t="s">
        <v>388</v>
      </c>
      <c r="B42" s="7" t="n">
        <v>5</v>
      </c>
      <c r="C42" s="7" t="n">
        <v>3</v>
      </c>
      <c r="D42" s="7" t="n">
        <v>3</v>
      </c>
      <c r="E42" s="7" t="n">
        <v>3</v>
      </c>
      <c r="F42" s="7" t="n">
        <v>4</v>
      </c>
      <c r="G42" s="7" t="n">
        <v>3</v>
      </c>
      <c r="H42" s="7" t="s">
        <v>1030</v>
      </c>
      <c r="I42" s="8" t="s">
        <v>1309</v>
      </c>
      <c r="J42" s="8" t="s">
        <v>1303</v>
      </c>
    </row>
    <row r="43" customFormat="false" ht="22.35" hidden="false" customHeight="false" outlineLevel="0" collapsed="false">
      <c r="A43" s="8" t="s">
        <v>518</v>
      </c>
      <c r="B43" s="7" t="n">
        <v>2</v>
      </c>
      <c r="C43" s="7" t="n">
        <v>4</v>
      </c>
      <c r="D43" s="7" t="n">
        <v>3</v>
      </c>
      <c r="E43" s="7" t="n">
        <v>3</v>
      </c>
      <c r="F43" s="7" t="n">
        <v>5</v>
      </c>
      <c r="G43" s="7" t="n">
        <v>3</v>
      </c>
      <c r="H43" s="7" t="s">
        <v>1033</v>
      </c>
      <c r="I43" s="8" t="s">
        <v>1355</v>
      </c>
      <c r="J43" s="8" t="s">
        <v>1356</v>
      </c>
    </row>
    <row r="44" customFormat="false" ht="15" hidden="false" customHeight="false" outlineLevel="0" collapsed="false">
      <c r="A44" s="8" t="s">
        <v>765</v>
      </c>
      <c r="B44" s="7" t="n">
        <v>5</v>
      </c>
      <c r="C44" s="7" t="n">
        <v>1</v>
      </c>
      <c r="D44" s="7" t="n">
        <v>2</v>
      </c>
      <c r="E44" s="7" t="n">
        <v>2</v>
      </c>
      <c r="F44" s="7" t="n">
        <v>4</v>
      </c>
      <c r="G44" s="7" t="n">
        <v>3</v>
      </c>
      <c r="H44" s="7" t="s">
        <v>1030</v>
      </c>
      <c r="I44" s="8" t="s">
        <v>1357</v>
      </c>
      <c r="J44" s="8" t="s">
        <v>1303</v>
      </c>
    </row>
    <row r="45" customFormat="false" ht="22.35" hidden="false" customHeight="false" outlineLevel="0" collapsed="false">
      <c r="A45" s="8" t="s">
        <v>548</v>
      </c>
      <c r="B45" s="7" t="n">
        <v>2</v>
      </c>
      <c r="C45" s="7" t="n">
        <v>3</v>
      </c>
      <c r="D45" s="7" t="n">
        <v>3</v>
      </c>
      <c r="E45" s="7" t="n">
        <v>3</v>
      </c>
      <c r="F45" s="7" t="n">
        <v>3</v>
      </c>
      <c r="G45" s="7" t="n">
        <v>3</v>
      </c>
      <c r="H45" s="7" t="s">
        <v>1033</v>
      </c>
      <c r="I45" s="8" t="s">
        <v>1358</v>
      </c>
      <c r="J45" s="8" t="s">
        <v>1359</v>
      </c>
    </row>
    <row r="46" customFormat="false" ht="15" hidden="false" customHeight="false" outlineLevel="0" collapsed="false">
      <c r="A46" s="8" t="s">
        <v>640</v>
      </c>
      <c r="B46" s="7" t="n">
        <v>4</v>
      </c>
      <c r="C46" s="7" t="n">
        <v>2</v>
      </c>
      <c r="D46" s="7" t="n">
        <v>2</v>
      </c>
      <c r="E46" s="7" t="n">
        <v>2</v>
      </c>
      <c r="F46" s="7" t="n">
        <v>3</v>
      </c>
      <c r="G46" s="7" t="n">
        <v>3</v>
      </c>
      <c r="H46" s="7" t="s">
        <v>1033</v>
      </c>
      <c r="I46" s="8" t="s">
        <v>1360</v>
      </c>
      <c r="J46" s="8" t="s">
        <v>1361</v>
      </c>
    </row>
    <row r="47" customFormat="false" ht="32.8" hidden="false" customHeight="false" outlineLevel="0" collapsed="false">
      <c r="A47" s="8" t="s">
        <v>668</v>
      </c>
      <c r="B47" s="7" t="n">
        <v>3</v>
      </c>
      <c r="C47" s="7" t="n">
        <v>3</v>
      </c>
      <c r="D47" s="7" t="n">
        <v>3</v>
      </c>
      <c r="E47" s="7" t="n">
        <v>3</v>
      </c>
      <c r="F47" s="7" t="n">
        <v>5</v>
      </c>
      <c r="G47" s="7" t="n">
        <v>3</v>
      </c>
      <c r="H47" s="7" t="s">
        <v>1033</v>
      </c>
      <c r="I47" s="8" t="s">
        <v>1362</v>
      </c>
      <c r="J47" s="8" t="s">
        <v>1363</v>
      </c>
    </row>
    <row r="49" customFormat="false" ht="15" hidden="false" customHeight="false" outlineLevel="0" collapsed="false">
      <c r="A49" s="33" t="s">
        <v>1364</v>
      </c>
    </row>
    <row r="51" customFormat="false" ht="35.05" hidden="false" customHeight="false" outlineLevel="0" collapsed="false">
      <c r="A51" s="6" t="s">
        <v>1365</v>
      </c>
      <c r="B51" s="6" t="s">
        <v>1366</v>
      </c>
      <c r="C51" s="6" t="s">
        <v>1072</v>
      </c>
      <c r="D51" s="6" t="s">
        <v>1296</v>
      </c>
      <c r="E51" s="6" t="s">
        <v>1297</v>
      </c>
    </row>
    <row r="52" customFormat="false" ht="95.5" hidden="false" customHeight="false" outlineLevel="0" collapsed="false">
      <c r="A52" s="8" t="s">
        <v>444</v>
      </c>
      <c r="B52" s="7" t="n">
        <v>5</v>
      </c>
      <c r="C52" s="7" t="s">
        <v>1029</v>
      </c>
      <c r="D52" s="8" t="s">
        <v>1367</v>
      </c>
      <c r="E52" s="8" t="s">
        <v>1368</v>
      </c>
    </row>
    <row r="53" customFormat="false" ht="74.6" hidden="false" customHeight="false" outlineLevel="0" collapsed="false">
      <c r="A53" s="8" t="s">
        <v>694</v>
      </c>
      <c r="B53" s="7" t="n">
        <v>4</v>
      </c>
      <c r="C53" s="7" t="s">
        <v>1029</v>
      </c>
      <c r="D53" s="8" t="s">
        <v>1369</v>
      </c>
      <c r="E53" s="8" t="s">
        <v>1370</v>
      </c>
    </row>
    <row r="54" customFormat="false" ht="95.5" hidden="false" customHeight="false" outlineLevel="0" collapsed="false">
      <c r="A54" s="8" t="s">
        <v>680</v>
      </c>
      <c r="B54" s="7" t="n">
        <v>4</v>
      </c>
      <c r="C54" s="7" t="s">
        <v>1029</v>
      </c>
      <c r="D54" s="8" t="s">
        <v>1371</v>
      </c>
      <c r="E54" s="8" t="s">
        <v>1372</v>
      </c>
    </row>
    <row r="55" customFormat="false" ht="95.5" hidden="false" customHeight="false" outlineLevel="0" collapsed="false">
      <c r="A55" s="8" t="s">
        <v>878</v>
      </c>
      <c r="B55" s="7" t="n">
        <v>4</v>
      </c>
      <c r="C55" s="7" t="s">
        <v>1033</v>
      </c>
      <c r="D55" s="8" t="s">
        <v>1373</v>
      </c>
      <c r="E55" s="8" t="s">
        <v>1374</v>
      </c>
    </row>
    <row r="56" customFormat="false" ht="95.5" hidden="false" customHeight="false" outlineLevel="0" collapsed="false">
      <c r="A56" s="8" t="s">
        <v>466</v>
      </c>
      <c r="B56" s="7" t="n">
        <v>5</v>
      </c>
      <c r="C56" s="7" t="s">
        <v>1029</v>
      </c>
      <c r="D56" s="8" t="s">
        <v>1375</v>
      </c>
      <c r="E56" s="8" t="s">
        <v>1376</v>
      </c>
    </row>
    <row r="57" customFormat="false" ht="85.05" hidden="false" customHeight="false" outlineLevel="0" collapsed="false">
      <c r="A57" s="8" t="s">
        <v>708</v>
      </c>
      <c r="B57" s="7" t="n">
        <v>4</v>
      </c>
      <c r="C57" s="7" t="s">
        <v>1033</v>
      </c>
      <c r="D57" s="8" t="s">
        <v>1377</v>
      </c>
      <c r="E57" s="8" t="s">
        <v>1378</v>
      </c>
    </row>
    <row r="58" customFormat="false" ht="64.15" hidden="false" customHeight="false" outlineLevel="0" collapsed="false">
      <c r="A58" s="8" t="s">
        <v>428</v>
      </c>
      <c r="B58" s="7" t="n">
        <v>5</v>
      </c>
      <c r="C58" s="7" t="s">
        <v>1029</v>
      </c>
      <c r="D58" s="8" t="s">
        <v>1379</v>
      </c>
      <c r="E58" s="8" t="s">
        <v>1380</v>
      </c>
    </row>
    <row r="59" customFormat="false" ht="74.6" hidden="false" customHeight="false" outlineLevel="0" collapsed="false">
      <c r="A59" s="8" t="s">
        <v>901</v>
      </c>
      <c r="B59" s="7" t="n">
        <v>4</v>
      </c>
      <c r="C59" s="7" t="s">
        <v>1033</v>
      </c>
      <c r="D59" s="8" t="s">
        <v>1381</v>
      </c>
      <c r="E59" s="8" t="s">
        <v>1382</v>
      </c>
    </row>
    <row r="60" customFormat="false" ht="116.4" hidden="false" customHeight="false" outlineLevel="0" collapsed="false">
      <c r="A60" s="8" t="s">
        <v>672</v>
      </c>
      <c r="B60" s="7" t="n">
        <v>4</v>
      </c>
      <c r="C60" s="7" t="s">
        <v>1033</v>
      </c>
      <c r="D60" s="8" t="s">
        <v>1383</v>
      </c>
      <c r="E60" s="8" t="s">
        <v>1384</v>
      </c>
    </row>
    <row r="61" customFormat="false" ht="85.05" hidden="false" customHeight="false" outlineLevel="0" collapsed="false">
      <c r="A61" s="8" t="s">
        <v>716</v>
      </c>
      <c r="B61" s="7" t="n">
        <v>4</v>
      </c>
      <c r="C61" s="7" t="s">
        <v>1029</v>
      </c>
      <c r="D61" s="8" t="s">
        <v>1385</v>
      </c>
      <c r="E61" s="8" t="s">
        <v>1347</v>
      </c>
    </row>
    <row r="62" customFormat="false" ht="85.05" hidden="false" customHeight="false" outlineLevel="0" collapsed="false">
      <c r="A62" s="8" t="s">
        <v>437</v>
      </c>
      <c r="B62" s="7" t="n">
        <v>3</v>
      </c>
      <c r="C62" s="7" t="s">
        <v>1033</v>
      </c>
      <c r="D62" s="8" t="s">
        <v>1386</v>
      </c>
      <c r="E62" s="8" t="s">
        <v>1387</v>
      </c>
    </row>
    <row r="63" customFormat="false" ht="32.8" hidden="false" customHeight="false" outlineLevel="0" collapsed="false">
      <c r="A63" s="8" t="s">
        <v>334</v>
      </c>
      <c r="B63" s="7" t="n">
        <v>2</v>
      </c>
      <c r="C63" s="7" t="s">
        <v>1030</v>
      </c>
      <c r="D63" s="8" t="s">
        <v>1388</v>
      </c>
      <c r="E63" s="8" t="s">
        <v>1389</v>
      </c>
    </row>
    <row r="65" customFormat="false" ht="15" hidden="false" customHeight="false" outlineLevel="0" collapsed="false">
      <c r="A65" s="33" t="s">
        <v>1390</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2026-10-04T18:35:53Z</dcterms:created>
  <dc:creator>openpyxl</dc:creator>
  <dc:description/>
  <dc:language>en-US</dc:language>
  <cp:lastModifiedBy/>
  <dcterms:modified xsi:type="dcterms:W3CDTF">2026-10-04T19:48:19Z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